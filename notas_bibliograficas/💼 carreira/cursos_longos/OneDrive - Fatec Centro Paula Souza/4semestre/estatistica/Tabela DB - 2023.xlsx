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to\Downloads\"/>
    </mc:Choice>
  </mc:AlternateContent>
  <xr:revisionPtr revIDLastSave="0" documentId="13_ncr:1_{A3138846-F6FA-49BA-AEB4-39441B4F36A7}" xr6:coauthVersionLast="47" xr6:coauthVersionMax="47" xr10:uidLastSave="{00000000-0000-0000-0000-000000000000}"/>
  <bookViews>
    <workbookView xWindow="21480" yWindow="1815" windowWidth="20730" windowHeight="11760" activeTab="1" xr2:uid="{5DC239A9-5172-41FB-84EA-CDEEC6C6515A}"/>
  </bookViews>
  <sheets>
    <sheet name="Planilha1" sheetId="1" r:id="rId1"/>
    <sheet name="Planilha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" i="3" l="1"/>
  <c r="U13" i="3"/>
  <c r="U6" i="3"/>
  <c r="V6" i="3"/>
  <c r="U7" i="3"/>
  <c r="V7" i="3"/>
  <c r="U8" i="3"/>
  <c r="V8" i="3"/>
  <c r="U9" i="3"/>
  <c r="V9" i="3"/>
  <c r="U10" i="3"/>
  <c r="V10" i="3"/>
  <c r="U11" i="3"/>
  <c r="V11" i="3"/>
  <c r="T7" i="3"/>
  <c r="T8" i="3"/>
  <c r="T9" i="3"/>
  <c r="T10" i="3"/>
  <c r="T11" i="3"/>
  <c r="T6" i="3"/>
  <c r="N16" i="3"/>
  <c r="O16" i="3"/>
  <c r="P16" i="3"/>
  <c r="N17" i="3"/>
  <c r="O17" i="3"/>
  <c r="P17" i="3"/>
  <c r="N18" i="3"/>
  <c r="O18" i="3"/>
  <c r="P18" i="3"/>
  <c r="N19" i="3"/>
  <c r="O19" i="3"/>
  <c r="P19" i="3"/>
  <c r="N20" i="3"/>
  <c r="O20" i="3"/>
  <c r="P20" i="3"/>
  <c r="O21" i="3"/>
  <c r="P21" i="3"/>
  <c r="N21" i="3"/>
  <c r="P8" i="3"/>
  <c r="P6" i="3"/>
  <c r="P7" i="3"/>
  <c r="P9" i="3"/>
  <c r="P10" i="3"/>
  <c r="P11" i="3"/>
  <c r="O7" i="3"/>
  <c r="O8" i="3"/>
  <c r="O9" i="3"/>
  <c r="O10" i="3"/>
  <c r="O11" i="3"/>
  <c r="O6" i="3"/>
  <c r="N7" i="3"/>
  <c r="N8" i="3"/>
  <c r="N9" i="3"/>
  <c r="N10" i="3"/>
  <c r="N11" i="3"/>
  <c r="N6" i="3"/>
  <c r="Q7" i="3"/>
  <c r="Q8" i="3"/>
  <c r="Q9" i="3"/>
  <c r="Q10" i="3"/>
  <c r="Q11" i="3"/>
  <c r="Q6" i="3"/>
  <c r="O12" i="3"/>
  <c r="P12" i="3"/>
  <c r="N12" i="3"/>
  <c r="I15" i="3"/>
  <c r="J15" i="3"/>
  <c r="K15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1" i="3"/>
  <c r="J21" i="3"/>
  <c r="K21" i="3"/>
  <c r="H16" i="3"/>
  <c r="H17" i="3"/>
  <c r="H18" i="3"/>
  <c r="H19" i="3"/>
  <c r="H20" i="3"/>
  <c r="H21" i="3"/>
  <c r="H15" i="3"/>
  <c r="K12" i="3"/>
  <c r="K7" i="3"/>
  <c r="K8" i="3"/>
  <c r="K9" i="3"/>
  <c r="K10" i="3"/>
  <c r="K11" i="3"/>
  <c r="K6" i="3"/>
  <c r="I12" i="3"/>
  <c r="J12" i="3"/>
  <c r="H12" i="3"/>
  <c r="J11" i="3"/>
  <c r="J10" i="3"/>
  <c r="J9" i="3"/>
  <c r="J8" i="3"/>
  <c r="J7" i="3"/>
  <c r="J6" i="3"/>
  <c r="I11" i="3"/>
  <c r="I10" i="3"/>
  <c r="I9" i="3"/>
  <c r="I8" i="3"/>
  <c r="I7" i="3"/>
  <c r="I6" i="3"/>
  <c r="H11" i="3"/>
  <c r="H10" i="3"/>
  <c r="H9" i="3"/>
  <c r="H8" i="3"/>
  <c r="H7" i="3"/>
  <c r="H6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4" i="3"/>
  <c r="C15" i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Q12" i="3" l="1"/>
</calcChain>
</file>

<file path=xl/sharedStrings.xml><?xml version="1.0" encoding="utf-8"?>
<sst xmlns="http://schemas.openxmlformats.org/spreadsheetml/2006/main" count="504" uniqueCount="70">
  <si>
    <t>Id : identificação do aluno</t>
  </si>
  <si>
    <t xml:space="preserve">AE  : área de estudo           (E) exatas           (H) humanas          (S) saúde </t>
  </si>
  <si>
    <t xml:space="preserve">TB : tempo dedicado  ao  estudo   durante  a semana  (h) </t>
  </si>
  <si>
    <t xml:space="preserve">Fam: número de pessoas na familia </t>
  </si>
  <si>
    <t xml:space="preserve">EX : tempo  dedicado a  atividade física por semana  (h) </t>
  </si>
  <si>
    <t xml:space="preserve">NL :  número de livros retidos da biblioteca  durante o semestre </t>
  </si>
  <si>
    <t>PL  : Preferência de leitura  (F)  ficção     (P) politica    (A) artes    (D) drama     (E) economia    (O) outros</t>
  </si>
  <si>
    <t xml:space="preserve">Ida : Idade em anos </t>
  </si>
  <si>
    <t xml:space="preserve">EC :   (S) Solteiro      (C) Casado       (D) Divorciado       (V) Viuvo       (VJ) vive junto </t>
  </si>
  <si>
    <t>HS : tempo de sono por noite  (h)</t>
  </si>
  <si>
    <t xml:space="preserve">RF : renda  familiar  em salários mínimos </t>
  </si>
  <si>
    <t>TI : Tempo  conectado  ao computador  (h/dia)</t>
  </si>
  <si>
    <t>TTP: Tipos de transporte público ( casa para o trabalho)    (O) onibus     (T) trem      M (metro)     (N) não utiliza</t>
  </si>
  <si>
    <t>Id</t>
  </si>
  <si>
    <t>sexo</t>
  </si>
  <si>
    <t>AE</t>
  </si>
  <si>
    <t>TB</t>
  </si>
  <si>
    <t>Fam</t>
  </si>
  <si>
    <t>Fuma</t>
  </si>
  <si>
    <t>Alt</t>
  </si>
  <si>
    <t>Peso</t>
  </si>
  <si>
    <t>EX</t>
  </si>
  <si>
    <t>NL</t>
  </si>
  <si>
    <t>PL</t>
  </si>
  <si>
    <t>Ida</t>
  </si>
  <si>
    <t>EC</t>
  </si>
  <si>
    <t xml:space="preserve">HS </t>
  </si>
  <si>
    <t>RF</t>
  </si>
  <si>
    <t xml:space="preserve">TI </t>
  </si>
  <si>
    <t>TTP</t>
  </si>
  <si>
    <t>(m)</t>
  </si>
  <si>
    <t>(kg)</t>
  </si>
  <si>
    <t>(h)</t>
  </si>
  <si>
    <t xml:space="preserve">(anos) </t>
  </si>
  <si>
    <t>(sm)</t>
  </si>
  <si>
    <t>F</t>
  </si>
  <si>
    <t>S</t>
  </si>
  <si>
    <t>N</t>
  </si>
  <si>
    <t>D</t>
  </si>
  <si>
    <t>OM</t>
  </si>
  <si>
    <t>M</t>
  </si>
  <si>
    <t>H</t>
  </si>
  <si>
    <t>O</t>
  </si>
  <si>
    <t>OTM</t>
  </si>
  <si>
    <t>E</t>
  </si>
  <si>
    <t>TM</t>
  </si>
  <si>
    <t>OT</t>
  </si>
  <si>
    <t>A</t>
  </si>
  <si>
    <t>T</t>
  </si>
  <si>
    <t>VJ</t>
  </si>
  <si>
    <t>P</t>
  </si>
  <si>
    <t>C</t>
  </si>
  <si>
    <t>AE/PL</t>
  </si>
  <si>
    <t>AE+PL</t>
  </si>
  <si>
    <t>Ficção</t>
  </si>
  <si>
    <t>Politica</t>
  </si>
  <si>
    <t>Artes</t>
  </si>
  <si>
    <t>Drama</t>
  </si>
  <si>
    <t>Economia</t>
  </si>
  <si>
    <t>Outros</t>
  </si>
  <si>
    <t>Exatas</t>
  </si>
  <si>
    <t>Humanas</t>
  </si>
  <si>
    <t>Saúde</t>
  </si>
  <si>
    <t>Total</t>
  </si>
  <si>
    <t>Tabela original</t>
  </si>
  <si>
    <t>Tabela alterada</t>
  </si>
  <si>
    <t>Tabela subtração das tabelas</t>
  </si>
  <si>
    <t>Tabela descobrindo o x²</t>
  </si>
  <si>
    <t>Valor do Qi Quadrado:</t>
  </si>
  <si>
    <t>Valor do x² é: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</si>
</sst>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2" fillId="0" borderId="0" xfId="0" applyFont="1"/>
    <xf numFmtId="0" fontId="0" fillId="0" borderId="1" xfId="0" applyBorder="1"/>
    <xf numFmtId="0" fontId="0" fillId="0" borderId="1" xfId="0" applyFill="1" applyBorder="1"/>
    <xf numFmtId="0" fontId="0" fillId="0" borderId="0" xfId="0" applyBorder="1"/>
    <xf numFmtId="0" fontId="0" fillId="0" borderId="0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0" xfId="0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5393-7F87-4FCC-98F4-90FE6A286D03}">
  <dimension ref="A1:Q67"/>
  <sheetViews>
    <sheetView zoomScale="70" zoomScaleNormal="70" workbookViewId="0">
      <selection activeCell="K16" sqref="K16:K67"/>
    </sheetView>
  </sheetViews>
  <sheetFormatPr defaultRowHeight="15" x14ac:dyDescent="0.25"/>
  <cols>
    <col min="1" max="1" width="5" customWidth="1"/>
    <col min="2" max="6" width="7.28515625" customWidth="1"/>
    <col min="9" max="11" width="6.85546875" customWidth="1"/>
    <col min="12" max="12" width="7.140625" customWidth="1"/>
    <col min="13" max="13" width="6.5703125" customWidth="1"/>
    <col min="14" max="14" width="7.42578125" customWidth="1"/>
    <col min="15" max="15" width="7.85546875" customWidth="1"/>
    <col min="16" max="17" width="7.140625" customWidth="1"/>
  </cols>
  <sheetData>
    <row r="1" spans="1:17" x14ac:dyDescent="0.25">
      <c r="M1" s="1"/>
    </row>
    <row r="2" spans="1:17" x14ac:dyDescent="0.25">
      <c r="A2" s="2"/>
      <c r="B2" t="s">
        <v>0</v>
      </c>
      <c r="M2" s="1"/>
    </row>
    <row r="3" spans="1:17" x14ac:dyDescent="0.25">
      <c r="A3" s="2"/>
      <c r="B3" t="s">
        <v>1</v>
      </c>
      <c r="M3" s="1"/>
    </row>
    <row r="4" spans="1:17" x14ac:dyDescent="0.25">
      <c r="A4" s="2"/>
      <c r="B4" t="s">
        <v>2</v>
      </c>
      <c r="M4" s="1"/>
    </row>
    <row r="5" spans="1:17" x14ac:dyDescent="0.25">
      <c r="A5" s="3"/>
      <c r="B5" t="s">
        <v>3</v>
      </c>
      <c r="M5" s="1"/>
    </row>
    <row r="6" spans="1:17" x14ac:dyDescent="0.25">
      <c r="A6" s="3"/>
      <c r="B6" t="s">
        <v>4</v>
      </c>
      <c r="M6" s="1"/>
    </row>
    <row r="7" spans="1:17" x14ac:dyDescent="0.25">
      <c r="A7" s="3"/>
      <c r="B7" t="s">
        <v>5</v>
      </c>
      <c r="M7" s="1"/>
    </row>
    <row r="8" spans="1:17" x14ac:dyDescent="0.25">
      <c r="A8" s="3"/>
      <c r="B8" t="s">
        <v>6</v>
      </c>
      <c r="M8" s="1"/>
      <c r="P8" s="1"/>
    </row>
    <row r="9" spans="1:17" x14ac:dyDescent="0.25">
      <c r="A9" s="3"/>
      <c r="B9" t="s">
        <v>7</v>
      </c>
      <c r="M9" s="1"/>
    </row>
    <row r="10" spans="1:17" x14ac:dyDescent="0.25">
      <c r="A10" s="3"/>
      <c r="B10" t="s">
        <v>8</v>
      </c>
      <c r="M10" s="1"/>
    </row>
    <row r="11" spans="1:17" x14ac:dyDescent="0.25">
      <c r="A11" s="3"/>
      <c r="B11" t="s">
        <v>9</v>
      </c>
      <c r="M11" s="1"/>
      <c r="Q11" s="4"/>
    </row>
    <row r="12" spans="1:17" x14ac:dyDescent="0.25">
      <c r="A12" s="3"/>
      <c r="B12" t="s">
        <v>10</v>
      </c>
      <c r="M12" s="1"/>
    </row>
    <row r="13" spans="1:17" x14ac:dyDescent="0.25">
      <c r="A13" s="3"/>
      <c r="B13" t="s">
        <v>11</v>
      </c>
      <c r="M13" s="1"/>
    </row>
    <row r="14" spans="1:17" ht="18.75" x14ac:dyDescent="0.3">
      <c r="A14" s="5"/>
      <c r="B14" s="6" t="s">
        <v>12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7"/>
      <c r="O14" s="7"/>
      <c r="P14" s="7"/>
      <c r="Q14" s="7"/>
    </row>
    <row r="15" spans="1:17" ht="18.75" x14ac:dyDescent="0.3">
      <c r="A15" s="9"/>
      <c r="B15" s="10">
        <v>1</v>
      </c>
      <c r="C15" s="10">
        <f>B15+1</f>
        <v>2</v>
      </c>
      <c r="D15" s="10">
        <f t="shared" ref="D15:Q15" si="0">C15+1</f>
        <v>3</v>
      </c>
      <c r="E15" s="10">
        <f t="shared" si="0"/>
        <v>4</v>
      </c>
      <c r="F15" s="10">
        <f t="shared" si="0"/>
        <v>5</v>
      </c>
      <c r="G15" s="10">
        <f t="shared" si="0"/>
        <v>6</v>
      </c>
      <c r="H15" s="10">
        <f t="shared" si="0"/>
        <v>7</v>
      </c>
      <c r="I15" s="10">
        <f t="shared" si="0"/>
        <v>8</v>
      </c>
      <c r="J15" s="10">
        <f t="shared" si="0"/>
        <v>9</v>
      </c>
      <c r="K15" s="10">
        <f t="shared" si="0"/>
        <v>10</v>
      </c>
      <c r="L15" s="10">
        <f t="shared" si="0"/>
        <v>11</v>
      </c>
      <c r="M15" s="10">
        <f t="shared" si="0"/>
        <v>12</v>
      </c>
      <c r="N15" s="10">
        <f t="shared" si="0"/>
        <v>13</v>
      </c>
      <c r="O15" s="10">
        <f t="shared" si="0"/>
        <v>14</v>
      </c>
      <c r="P15" s="10">
        <f t="shared" si="0"/>
        <v>15</v>
      </c>
      <c r="Q15" s="10">
        <f t="shared" si="0"/>
        <v>16</v>
      </c>
    </row>
    <row r="16" spans="1:17" ht="37.5" x14ac:dyDescent="0.25">
      <c r="A16" s="11" t="s">
        <v>13</v>
      </c>
      <c r="B16" s="11" t="s">
        <v>14</v>
      </c>
      <c r="C16" s="11" t="s">
        <v>15</v>
      </c>
      <c r="D16" s="11" t="s">
        <v>16</v>
      </c>
      <c r="E16" s="11" t="s">
        <v>17</v>
      </c>
      <c r="F16" s="11" t="s">
        <v>18</v>
      </c>
      <c r="G16" s="11" t="s">
        <v>19</v>
      </c>
      <c r="H16" s="11" t="s">
        <v>20</v>
      </c>
      <c r="I16" s="11" t="s">
        <v>21</v>
      </c>
      <c r="J16" s="11" t="s">
        <v>22</v>
      </c>
      <c r="K16" s="11" t="s">
        <v>23</v>
      </c>
      <c r="L16" s="12" t="s">
        <v>24</v>
      </c>
      <c r="M16" s="12" t="s">
        <v>25</v>
      </c>
      <c r="N16" s="11" t="s">
        <v>26</v>
      </c>
      <c r="O16" s="11" t="s">
        <v>27</v>
      </c>
      <c r="P16" s="11" t="s">
        <v>28</v>
      </c>
      <c r="Q16" s="13" t="s">
        <v>29</v>
      </c>
    </row>
    <row r="17" spans="1:17" ht="18.75" x14ac:dyDescent="0.3">
      <c r="A17" s="10"/>
      <c r="B17" s="10"/>
      <c r="C17" s="10"/>
      <c r="D17" s="10"/>
      <c r="E17" s="10"/>
      <c r="F17" s="10"/>
      <c r="G17" s="10" t="s">
        <v>30</v>
      </c>
      <c r="H17" s="10" t="s">
        <v>31</v>
      </c>
      <c r="I17" s="10" t="s">
        <v>32</v>
      </c>
      <c r="J17" s="10"/>
      <c r="K17" s="10"/>
      <c r="L17" s="10" t="s">
        <v>33</v>
      </c>
      <c r="M17" s="14"/>
      <c r="N17" s="10" t="s">
        <v>32</v>
      </c>
      <c r="O17" s="10" t="s">
        <v>34</v>
      </c>
      <c r="P17" s="10" t="s">
        <v>32</v>
      </c>
      <c r="Q17" s="15"/>
    </row>
    <row r="18" spans="1:17" ht="18.75" x14ac:dyDescent="0.3">
      <c r="A18" s="16">
        <v>1</v>
      </c>
      <c r="B18" s="16" t="s">
        <v>35</v>
      </c>
      <c r="C18" s="16" t="s">
        <v>36</v>
      </c>
      <c r="D18" s="17">
        <v>11.8</v>
      </c>
      <c r="E18" s="16">
        <v>3</v>
      </c>
      <c r="F18" s="16" t="s">
        <v>37</v>
      </c>
      <c r="G18" s="18">
        <v>1.6</v>
      </c>
      <c r="H18" s="19">
        <v>60.5</v>
      </c>
      <c r="I18" s="16">
        <v>0</v>
      </c>
      <c r="J18" s="16">
        <v>1</v>
      </c>
      <c r="K18" s="16" t="s">
        <v>38</v>
      </c>
      <c r="L18" s="20">
        <v>17</v>
      </c>
      <c r="M18" s="14" t="s">
        <v>36</v>
      </c>
      <c r="N18" s="16">
        <v>6</v>
      </c>
      <c r="O18" s="16">
        <v>6.3</v>
      </c>
      <c r="P18" s="14">
        <v>12</v>
      </c>
      <c r="Q18" s="14" t="s">
        <v>39</v>
      </c>
    </row>
    <row r="19" spans="1:17" ht="18.75" x14ac:dyDescent="0.3">
      <c r="A19" s="16">
        <v>2</v>
      </c>
      <c r="B19" s="16" t="s">
        <v>35</v>
      </c>
      <c r="C19" s="16" t="s">
        <v>36</v>
      </c>
      <c r="D19" s="16">
        <v>6</v>
      </c>
      <c r="E19" s="16">
        <v>5</v>
      </c>
      <c r="F19" s="16" t="s">
        <v>36</v>
      </c>
      <c r="G19" s="18">
        <v>1.69</v>
      </c>
      <c r="H19" s="19">
        <v>55</v>
      </c>
      <c r="I19" s="16">
        <v>0</v>
      </c>
      <c r="J19" s="16">
        <v>3</v>
      </c>
      <c r="K19" s="16" t="s">
        <v>35</v>
      </c>
      <c r="L19" s="20">
        <v>19</v>
      </c>
      <c r="M19" s="14" t="s">
        <v>36</v>
      </c>
      <c r="N19" s="16">
        <v>4</v>
      </c>
      <c r="O19" s="14">
        <v>8.8000000000000007</v>
      </c>
      <c r="P19" s="14">
        <v>13.5</v>
      </c>
      <c r="Q19" s="14" t="s">
        <v>40</v>
      </c>
    </row>
    <row r="20" spans="1:17" ht="18.75" x14ac:dyDescent="0.3">
      <c r="A20" s="16">
        <v>3</v>
      </c>
      <c r="B20" s="16" t="s">
        <v>40</v>
      </c>
      <c r="C20" s="16" t="s">
        <v>41</v>
      </c>
      <c r="D20" s="16">
        <v>3</v>
      </c>
      <c r="E20" s="16">
        <v>3</v>
      </c>
      <c r="F20" s="16" t="s">
        <v>37</v>
      </c>
      <c r="G20" s="18">
        <v>1.85</v>
      </c>
      <c r="H20" s="19">
        <v>72.8</v>
      </c>
      <c r="I20" s="16">
        <v>5</v>
      </c>
      <c r="J20" s="16">
        <v>6</v>
      </c>
      <c r="K20" s="16" t="s">
        <v>42</v>
      </c>
      <c r="L20" s="20">
        <v>18</v>
      </c>
      <c r="M20" s="14" t="s">
        <v>36</v>
      </c>
      <c r="N20" s="16">
        <v>6</v>
      </c>
      <c r="O20" s="14">
        <v>9.1999999999999993</v>
      </c>
      <c r="P20" s="14">
        <v>8</v>
      </c>
      <c r="Q20" s="14" t="s">
        <v>43</v>
      </c>
    </row>
    <row r="21" spans="1:17" ht="18.75" x14ac:dyDescent="0.3">
      <c r="A21" s="16">
        <v>4</v>
      </c>
      <c r="B21" s="16" t="s">
        <v>40</v>
      </c>
      <c r="C21" s="16" t="s">
        <v>44</v>
      </c>
      <c r="D21" s="16">
        <v>7</v>
      </c>
      <c r="E21" s="16">
        <v>4</v>
      </c>
      <c r="F21" s="16" t="s">
        <v>36</v>
      </c>
      <c r="G21" s="18">
        <v>1.79</v>
      </c>
      <c r="H21" s="19">
        <v>80.900000000000006</v>
      </c>
      <c r="I21" s="16">
        <v>5</v>
      </c>
      <c r="J21" s="16">
        <v>2</v>
      </c>
      <c r="K21" s="16" t="s">
        <v>35</v>
      </c>
      <c r="L21" s="20">
        <v>52</v>
      </c>
      <c r="M21" s="14" t="s">
        <v>38</v>
      </c>
      <c r="N21" s="16">
        <v>5</v>
      </c>
      <c r="O21" s="14">
        <v>13.5</v>
      </c>
      <c r="P21" s="14">
        <v>6.5</v>
      </c>
      <c r="Q21" s="14" t="s">
        <v>45</v>
      </c>
    </row>
    <row r="22" spans="1:17" ht="18.75" x14ac:dyDescent="0.3">
      <c r="A22" s="16">
        <v>5</v>
      </c>
      <c r="B22" s="16" t="s">
        <v>35</v>
      </c>
      <c r="C22" s="16" t="s">
        <v>44</v>
      </c>
      <c r="D22" s="16">
        <v>9</v>
      </c>
      <c r="E22" s="16">
        <v>5</v>
      </c>
      <c r="F22" s="16" t="s">
        <v>37</v>
      </c>
      <c r="G22" s="18">
        <v>1.58</v>
      </c>
      <c r="H22" s="19">
        <v>55</v>
      </c>
      <c r="I22" s="16">
        <v>2</v>
      </c>
      <c r="J22" s="16">
        <v>0</v>
      </c>
      <c r="K22" s="16" t="s">
        <v>44</v>
      </c>
      <c r="L22" s="20">
        <v>19</v>
      </c>
      <c r="M22" s="14" t="s">
        <v>36</v>
      </c>
      <c r="N22" s="16">
        <v>6.5</v>
      </c>
      <c r="O22" s="16">
        <v>4</v>
      </c>
      <c r="P22" s="14">
        <v>10</v>
      </c>
      <c r="Q22" s="14" t="s">
        <v>46</v>
      </c>
    </row>
    <row r="23" spans="1:17" ht="18.75" x14ac:dyDescent="0.3">
      <c r="A23" s="16">
        <v>6</v>
      </c>
      <c r="B23" s="16" t="s">
        <v>40</v>
      </c>
      <c r="C23" s="16" t="s">
        <v>36</v>
      </c>
      <c r="D23" s="16">
        <v>2</v>
      </c>
      <c r="E23" s="16">
        <v>6</v>
      </c>
      <c r="F23" s="16" t="s">
        <v>37</v>
      </c>
      <c r="G23" s="18">
        <v>1.76</v>
      </c>
      <c r="H23" s="19">
        <v>60</v>
      </c>
      <c r="I23" s="16">
        <v>2</v>
      </c>
      <c r="J23" s="16">
        <v>4</v>
      </c>
      <c r="K23" s="16" t="s">
        <v>44</v>
      </c>
      <c r="L23" s="20">
        <v>23</v>
      </c>
      <c r="M23" s="14" t="s">
        <v>36</v>
      </c>
      <c r="N23" s="16">
        <v>5.5</v>
      </c>
      <c r="O23" s="16">
        <v>7.7</v>
      </c>
      <c r="P23" s="14">
        <v>8.5</v>
      </c>
      <c r="Q23" s="14" t="s">
        <v>39</v>
      </c>
    </row>
    <row r="24" spans="1:17" ht="18.75" x14ac:dyDescent="0.3">
      <c r="A24" s="16">
        <v>7</v>
      </c>
      <c r="B24" s="16" t="s">
        <v>35</v>
      </c>
      <c r="C24" s="16" t="s">
        <v>36</v>
      </c>
      <c r="D24" s="16">
        <v>3</v>
      </c>
      <c r="E24" s="16">
        <v>4</v>
      </c>
      <c r="F24" s="16" t="s">
        <v>36</v>
      </c>
      <c r="G24" s="18">
        <v>1.6</v>
      </c>
      <c r="H24" s="19">
        <v>58</v>
      </c>
      <c r="I24" s="16">
        <v>3</v>
      </c>
      <c r="J24" s="16">
        <v>4</v>
      </c>
      <c r="K24" s="16" t="s">
        <v>47</v>
      </c>
      <c r="L24" s="20">
        <v>18</v>
      </c>
      <c r="M24" s="14" t="s">
        <v>36</v>
      </c>
      <c r="N24" s="16">
        <v>3</v>
      </c>
      <c r="O24" s="16">
        <v>4.8</v>
      </c>
      <c r="P24" s="14">
        <v>5</v>
      </c>
      <c r="Q24" s="14" t="s">
        <v>48</v>
      </c>
    </row>
    <row r="25" spans="1:17" ht="18.75" x14ac:dyDescent="0.3">
      <c r="A25" s="16">
        <v>8</v>
      </c>
      <c r="B25" s="16" t="s">
        <v>40</v>
      </c>
      <c r="C25" s="16" t="s">
        <v>41</v>
      </c>
      <c r="D25" s="16">
        <v>2</v>
      </c>
      <c r="E25" s="16">
        <v>3</v>
      </c>
      <c r="F25" s="16" t="s">
        <v>36</v>
      </c>
      <c r="G25" s="18">
        <v>1.64</v>
      </c>
      <c r="H25" s="19">
        <v>47</v>
      </c>
      <c r="I25" s="16">
        <v>2</v>
      </c>
      <c r="J25" s="16">
        <v>8</v>
      </c>
      <c r="K25" s="16" t="s">
        <v>42</v>
      </c>
      <c r="L25" s="20">
        <v>24</v>
      </c>
      <c r="M25" s="14" t="s">
        <v>49</v>
      </c>
      <c r="N25" s="16">
        <v>5</v>
      </c>
      <c r="O25" s="14">
        <v>13</v>
      </c>
      <c r="P25" s="14">
        <v>7</v>
      </c>
      <c r="Q25" s="14" t="s">
        <v>46</v>
      </c>
    </row>
    <row r="26" spans="1:17" ht="18.75" x14ac:dyDescent="0.3">
      <c r="A26" s="16">
        <v>9</v>
      </c>
      <c r="B26" s="16" t="s">
        <v>35</v>
      </c>
      <c r="C26" s="16" t="s">
        <v>44</v>
      </c>
      <c r="D26" s="16">
        <v>13</v>
      </c>
      <c r="E26" s="16">
        <v>2</v>
      </c>
      <c r="F26" s="16" t="s">
        <v>37</v>
      </c>
      <c r="G26" s="18">
        <v>1.62</v>
      </c>
      <c r="H26" s="19">
        <v>57</v>
      </c>
      <c r="I26" s="16">
        <v>10</v>
      </c>
      <c r="J26" s="16">
        <v>5</v>
      </c>
      <c r="K26" s="16" t="s">
        <v>35</v>
      </c>
      <c r="L26" s="20">
        <v>20</v>
      </c>
      <c r="M26" s="14" t="s">
        <v>36</v>
      </c>
      <c r="N26" s="16">
        <v>4</v>
      </c>
      <c r="O26" s="14">
        <v>8</v>
      </c>
      <c r="P26" s="14">
        <v>6.5</v>
      </c>
      <c r="Q26" s="14" t="s">
        <v>43</v>
      </c>
    </row>
    <row r="27" spans="1:17" ht="18.75" x14ac:dyDescent="0.3">
      <c r="A27" s="16">
        <v>10</v>
      </c>
      <c r="B27" s="16" t="s">
        <v>40</v>
      </c>
      <c r="C27" s="16" t="s">
        <v>36</v>
      </c>
      <c r="D27" s="16">
        <v>15</v>
      </c>
      <c r="E27" s="16">
        <v>7</v>
      </c>
      <c r="F27" s="16" t="s">
        <v>37</v>
      </c>
      <c r="G27" s="18">
        <v>1.64</v>
      </c>
      <c r="H27" s="19">
        <v>58</v>
      </c>
      <c r="I27" s="16">
        <v>0</v>
      </c>
      <c r="J27" s="16">
        <v>3</v>
      </c>
      <c r="K27" s="16" t="s">
        <v>50</v>
      </c>
      <c r="L27" s="20">
        <v>18</v>
      </c>
      <c r="M27" s="14" t="s">
        <v>36</v>
      </c>
      <c r="N27" s="16">
        <v>5.5</v>
      </c>
      <c r="O27" s="16">
        <v>5.5</v>
      </c>
      <c r="P27" s="14">
        <v>10.5</v>
      </c>
      <c r="Q27" s="14" t="s">
        <v>39</v>
      </c>
    </row>
    <row r="28" spans="1:17" ht="18.75" x14ac:dyDescent="0.3">
      <c r="A28" s="16">
        <v>11</v>
      </c>
      <c r="B28" s="16" t="s">
        <v>35</v>
      </c>
      <c r="C28" s="16" t="s">
        <v>44</v>
      </c>
      <c r="D28" s="16">
        <v>12</v>
      </c>
      <c r="E28" s="16">
        <v>5</v>
      </c>
      <c r="F28" s="16" t="s">
        <v>36</v>
      </c>
      <c r="G28" s="18">
        <v>1.68</v>
      </c>
      <c r="H28" s="19">
        <v>70</v>
      </c>
      <c r="I28" s="16">
        <v>6</v>
      </c>
      <c r="J28" s="16">
        <v>3</v>
      </c>
      <c r="K28" s="16" t="s">
        <v>35</v>
      </c>
      <c r="L28" s="20">
        <v>21</v>
      </c>
      <c r="M28" s="14" t="s">
        <v>36</v>
      </c>
      <c r="N28" s="16">
        <v>4.5</v>
      </c>
      <c r="O28" s="16">
        <v>2</v>
      </c>
      <c r="P28" s="14">
        <v>5.5</v>
      </c>
      <c r="Q28" s="14" t="s">
        <v>45</v>
      </c>
    </row>
    <row r="29" spans="1:17" ht="18.75" x14ac:dyDescent="0.3">
      <c r="A29" s="16">
        <v>12</v>
      </c>
      <c r="B29" s="16" t="s">
        <v>35</v>
      </c>
      <c r="C29" s="16" t="s">
        <v>41</v>
      </c>
      <c r="D29" s="16">
        <v>5</v>
      </c>
      <c r="E29" s="16">
        <v>3</v>
      </c>
      <c r="F29" s="16" t="s">
        <v>37</v>
      </c>
      <c r="G29" s="18">
        <v>1.66</v>
      </c>
      <c r="H29" s="19">
        <v>54</v>
      </c>
      <c r="I29" s="16">
        <v>5</v>
      </c>
      <c r="J29" s="16">
        <v>4</v>
      </c>
      <c r="K29" s="16" t="s">
        <v>47</v>
      </c>
      <c r="L29" s="20">
        <v>45</v>
      </c>
      <c r="M29" s="14" t="s">
        <v>38</v>
      </c>
      <c r="N29" s="16">
        <v>6.5</v>
      </c>
      <c r="O29" s="16">
        <v>7.2</v>
      </c>
      <c r="P29" s="14">
        <v>5.5</v>
      </c>
      <c r="Q29" s="14" t="s">
        <v>39</v>
      </c>
    </row>
    <row r="30" spans="1:17" ht="18.75" x14ac:dyDescent="0.3">
      <c r="A30" s="16">
        <v>13</v>
      </c>
      <c r="B30" s="16" t="s">
        <v>35</v>
      </c>
      <c r="C30" s="16" t="s">
        <v>36</v>
      </c>
      <c r="D30" s="16">
        <v>7</v>
      </c>
      <c r="E30" s="16">
        <v>4</v>
      </c>
      <c r="F30" s="16" t="s">
        <v>37</v>
      </c>
      <c r="G30" s="18">
        <v>1.7</v>
      </c>
      <c r="H30" s="19">
        <v>58</v>
      </c>
      <c r="I30" s="16">
        <v>4</v>
      </c>
      <c r="J30" s="16">
        <v>0</v>
      </c>
      <c r="K30" s="16" t="s">
        <v>44</v>
      </c>
      <c r="L30" s="20">
        <v>24</v>
      </c>
      <c r="M30" s="14" t="s">
        <v>36</v>
      </c>
      <c r="N30" s="16">
        <v>2.5</v>
      </c>
      <c r="O30" s="16">
        <v>6</v>
      </c>
      <c r="P30" s="14">
        <v>10</v>
      </c>
      <c r="Q30" s="14" t="s">
        <v>48</v>
      </c>
    </row>
    <row r="31" spans="1:17" ht="18.75" x14ac:dyDescent="0.3">
      <c r="A31" s="16">
        <v>14</v>
      </c>
      <c r="B31" s="16" t="s">
        <v>40</v>
      </c>
      <c r="C31" s="16" t="s">
        <v>41</v>
      </c>
      <c r="D31" s="16">
        <v>12</v>
      </c>
      <c r="E31" s="16">
        <v>5</v>
      </c>
      <c r="F31" s="16" t="s">
        <v>36</v>
      </c>
      <c r="G31" s="18">
        <v>1.78</v>
      </c>
      <c r="H31" s="19">
        <v>68.5</v>
      </c>
      <c r="I31" s="16">
        <v>0</v>
      </c>
      <c r="J31" s="16">
        <v>8</v>
      </c>
      <c r="K31" s="16" t="s">
        <v>50</v>
      </c>
      <c r="L31" s="20">
        <v>17</v>
      </c>
      <c r="M31" s="14" t="s">
        <v>36</v>
      </c>
      <c r="N31" s="16">
        <v>5.5</v>
      </c>
      <c r="O31" s="14">
        <v>12.5</v>
      </c>
      <c r="P31" s="14">
        <v>5</v>
      </c>
      <c r="Q31" s="14" t="s">
        <v>39</v>
      </c>
    </row>
    <row r="32" spans="1:17" ht="18.75" x14ac:dyDescent="0.3">
      <c r="A32" s="16">
        <v>15</v>
      </c>
      <c r="B32" s="16" t="s">
        <v>40</v>
      </c>
      <c r="C32" s="16" t="s">
        <v>44</v>
      </c>
      <c r="D32" s="16">
        <v>10</v>
      </c>
      <c r="E32" s="16">
        <v>6</v>
      </c>
      <c r="F32" s="16" t="s">
        <v>37</v>
      </c>
      <c r="G32" s="18">
        <v>1.65</v>
      </c>
      <c r="H32" s="19">
        <v>63.5</v>
      </c>
      <c r="I32" s="16">
        <v>3</v>
      </c>
      <c r="J32" s="16">
        <v>3</v>
      </c>
      <c r="K32" s="16" t="s">
        <v>35</v>
      </c>
      <c r="L32" s="20">
        <v>38</v>
      </c>
      <c r="M32" s="14" t="s">
        <v>51</v>
      </c>
      <c r="N32" s="16">
        <v>6</v>
      </c>
      <c r="O32" s="14">
        <v>8.5</v>
      </c>
      <c r="P32" s="14">
        <v>11.5</v>
      </c>
      <c r="Q32" s="14" t="s">
        <v>46</v>
      </c>
    </row>
    <row r="33" spans="1:17" ht="18.75" x14ac:dyDescent="0.3">
      <c r="A33" s="16">
        <v>16</v>
      </c>
      <c r="B33" s="16" t="s">
        <v>35</v>
      </c>
      <c r="C33" s="16" t="s">
        <v>36</v>
      </c>
      <c r="D33" s="16">
        <v>7</v>
      </c>
      <c r="E33" s="16">
        <v>4</v>
      </c>
      <c r="F33" s="16" t="s">
        <v>36</v>
      </c>
      <c r="G33" s="18">
        <v>1.63</v>
      </c>
      <c r="H33" s="19">
        <v>47.4</v>
      </c>
      <c r="I33" s="16">
        <v>3</v>
      </c>
      <c r="J33" s="16">
        <v>1</v>
      </c>
      <c r="K33" s="16" t="s">
        <v>42</v>
      </c>
      <c r="L33" s="20">
        <v>37</v>
      </c>
      <c r="M33" s="14" t="s">
        <v>38</v>
      </c>
      <c r="N33" s="16">
        <v>5</v>
      </c>
      <c r="O33" s="16">
        <v>3</v>
      </c>
      <c r="P33" s="14">
        <v>7</v>
      </c>
      <c r="Q33" s="14" t="s">
        <v>40</v>
      </c>
    </row>
    <row r="34" spans="1:17" ht="18.75" x14ac:dyDescent="0.3">
      <c r="A34" s="16">
        <v>17</v>
      </c>
      <c r="B34" s="16" t="s">
        <v>35</v>
      </c>
      <c r="C34" s="16" t="s">
        <v>44</v>
      </c>
      <c r="D34" s="16">
        <v>3</v>
      </c>
      <c r="E34" s="16">
        <v>5</v>
      </c>
      <c r="F34" s="16" t="s">
        <v>37</v>
      </c>
      <c r="G34" s="18">
        <v>1.82</v>
      </c>
      <c r="H34" s="19">
        <v>66</v>
      </c>
      <c r="I34" s="16">
        <v>3</v>
      </c>
      <c r="J34" s="16">
        <v>4</v>
      </c>
      <c r="K34" s="16" t="s">
        <v>35</v>
      </c>
      <c r="L34" s="20">
        <v>18</v>
      </c>
      <c r="M34" s="14" t="s">
        <v>36</v>
      </c>
      <c r="N34" s="16">
        <v>4</v>
      </c>
      <c r="O34" s="16">
        <v>7.5</v>
      </c>
      <c r="P34" s="14">
        <v>7</v>
      </c>
      <c r="Q34" s="14" t="s">
        <v>43</v>
      </c>
    </row>
    <row r="35" spans="1:17" ht="18.75" x14ac:dyDescent="0.3">
      <c r="A35" s="16">
        <v>18</v>
      </c>
      <c r="B35" s="16" t="s">
        <v>40</v>
      </c>
      <c r="C35" s="16" t="s">
        <v>44</v>
      </c>
      <c r="D35" s="16">
        <v>5</v>
      </c>
      <c r="E35" s="16">
        <v>4</v>
      </c>
      <c r="F35" s="16" t="s">
        <v>36</v>
      </c>
      <c r="G35" s="18">
        <v>1.78</v>
      </c>
      <c r="H35" s="19">
        <v>85.2</v>
      </c>
      <c r="I35" s="16">
        <v>7</v>
      </c>
      <c r="J35" s="16">
        <v>5</v>
      </c>
      <c r="K35" s="16" t="s">
        <v>50</v>
      </c>
      <c r="L35" s="20">
        <v>28</v>
      </c>
      <c r="M35" s="14" t="s">
        <v>36</v>
      </c>
      <c r="N35" s="16">
        <v>5.5</v>
      </c>
      <c r="O35" s="16">
        <v>6.8</v>
      </c>
      <c r="P35" s="14">
        <v>7.5</v>
      </c>
      <c r="Q35" s="14" t="s">
        <v>46</v>
      </c>
    </row>
    <row r="36" spans="1:17" ht="18.75" x14ac:dyDescent="0.3">
      <c r="A36" s="16">
        <v>19</v>
      </c>
      <c r="B36" s="16" t="s">
        <v>35</v>
      </c>
      <c r="C36" s="16" t="s">
        <v>36</v>
      </c>
      <c r="D36" s="16">
        <v>9</v>
      </c>
      <c r="E36" s="16">
        <v>5</v>
      </c>
      <c r="F36" s="16" t="s">
        <v>37</v>
      </c>
      <c r="G36" s="18">
        <v>1.65</v>
      </c>
      <c r="H36" s="19">
        <v>54.5</v>
      </c>
      <c r="I36" s="16">
        <v>0</v>
      </c>
      <c r="J36" s="16">
        <v>4</v>
      </c>
      <c r="K36" s="16" t="s">
        <v>47</v>
      </c>
      <c r="L36" s="20">
        <v>25</v>
      </c>
      <c r="M36" s="14" t="s">
        <v>36</v>
      </c>
      <c r="N36" s="16">
        <v>4.5</v>
      </c>
      <c r="O36" s="14">
        <v>9</v>
      </c>
      <c r="P36" s="14">
        <v>7.5</v>
      </c>
      <c r="Q36" s="14" t="s">
        <v>42</v>
      </c>
    </row>
    <row r="37" spans="1:17" ht="18.75" x14ac:dyDescent="0.3">
      <c r="A37" s="16">
        <v>20</v>
      </c>
      <c r="B37" s="16" t="s">
        <v>40</v>
      </c>
      <c r="C37" s="16" t="s">
        <v>44</v>
      </c>
      <c r="D37" s="16">
        <v>12</v>
      </c>
      <c r="E37" s="16">
        <v>7</v>
      </c>
      <c r="F37" s="16" t="s">
        <v>36</v>
      </c>
      <c r="G37" s="18">
        <v>1.67</v>
      </c>
      <c r="H37" s="19">
        <v>52.5</v>
      </c>
      <c r="I37" s="16">
        <v>5</v>
      </c>
      <c r="J37" s="16">
        <v>3</v>
      </c>
      <c r="K37" s="16" t="s">
        <v>35</v>
      </c>
      <c r="L37" s="20">
        <v>18</v>
      </c>
      <c r="M37" s="14" t="s">
        <v>36</v>
      </c>
      <c r="N37" s="16">
        <v>5</v>
      </c>
      <c r="O37" s="16">
        <v>5</v>
      </c>
      <c r="P37" s="14">
        <v>7.5</v>
      </c>
      <c r="Q37" s="14" t="s">
        <v>39</v>
      </c>
    </row>
    <row r="38" spans="1:17" ht="18.75" x14ac:dyDescent="0.3">
      <c r="A38" s="16">
        <v>21</v>
      </c>
      <c r="B38" s="16" t="s">
        <v>40</v>
      </c>
      <c r="C38" s="16" t="s">
        <v>41</v>
      </c>
      <c r="D38" s="16">
        <v>11</v>
      </c>
      <c r="E38" s="16">
        <v>4</v>
      </c>
      <c r="F38" s="16" t="s">
        <v>36</v>
      </c>
      <c r="G38" s="18">
        <v>1.69</v>
      </c>
      <c r="H38" s="19">
        <v>60</v>
      </c>
      <c r="I38" s="16">
        <v>8</v>
      </c>
      <c r="J38" s="16">
        <v>4</v>
      </c>
      <c r="K38" s="16" t="s">
        <v>50</v>
      </c>
      <c r="L38" s="20">
        <v>26</v>
      </c>
      <c r="M38" s="14" t="s">
        <v>36</v>
      </c>
      <c r="N38" s="16">
        <v>6.5</v>
      </c>
      <c r="O38" s="16">
        <v>7.1</v>
      </c>
      <c r="P38" s="14">
        <v>11.5</v>
      </c>
      <c r="Q38" s="14" t="s">
        <v>37</v>
      </c>
    </row>
    <row r="39" spans="1:17" ht="18.75" x14ac:dyDescent="0.3">
      <c r="A39" s="16">
        <v>22</v>
      </c>
      <c r="B39" s="16" t="s">
        <v>35</v>
      </c>
      <c r="C39" s="16" t="s">
        <v>36</v>
      </c>
      <c r="D39" s="16">
        <v>10</v>
      </c>
      <c r="E39" s="16">
        <v>5</v>
      </c>
      <c r="F39" s="16" t="s">
        <v>37</v>
      </c>
      <c r="G39" s="18">
        <v>1.65</v>
      </c>
      <c r="H39" s="19">
        <v>58.5</v>
      </c>
      <c r="I39" s="16">
        <v>0</v>
      </c>
      <c r="J39" s="16">
        <v>3</v>
      </c>
      <c r="K39" s="16" t="s">
        <v>42</v>
      </c>
      <c r="L39" s="20">
        <v>45</v>
      </c>
      <c r="M39" s="14" t="s">
        <v>38</v>
      </c>
      <c r="N39" s="16">
        <v>3</v>
      </c>
      <c r="O39" s="14">
        <v>8.9</v>
      </c>
      <c r="P39" s="14">
        <v>7.5</v>
      </c>
      <c r="Q39" s="14" t="s">
        <v>39</v>
      </c>
    </row>
    <row r="40" spans="1:17" ht="18.75" x14ac:dyDescent="0.3">
      <c r="A40" s="16">
        <v>23</v>
      </c>
      <c r="B40" s="16" t="s">
        <v>35</v>
      </c>
      <c r="C40" s="16" t="s">
        <v>44</v>
      </c>
      <c r="D40" s="16">
        <v>9</v>
      </c>
      <c r="E40" s="16">
        <v>3</v>
      </c>
      <c r="F40" s="16" t="s">
        <v>36</v>
      </c>
      <c r="G40" s="18">
        <v>1.57</v>
      </c>
      <c r="H40" s="19">
        <v>49.2</v>
      </c>
      <c r="I40" s="16">
        <v>5</v>
      </c>
      <c r="J40" s="16">
        <v>5</v>
      </c>
      <c r="K40" s="16" t="s">
        <v>50</v>
      </c>
      <c r="L40" s="20">
        <v>19</v>
      </c>
      <c r="M40" s="14" t="s">
        <v>51</v>
      </c>
      <c r="N40" s="16">
        <v>7</v>
      </c>
      <c r="O40" s="16">
        <v>4.5</v>
      </c>
      <c r="P40" s="14">
        <v>7.5</v>
      </c>
      <c r="Q40" s="14" t="s">
        <v>40</v>
      </c>
    </row>
    <row r="41" spans="1:17" ht="18.75" x14ac:dyDescent="0.3">
      <c r="A41" s="16">
        <v>24</v>
      </c>
      <c r="B41" s="16" t="s">
        <v>40</v>
      </c>
      <c r="C41" s="16" t="s">
        <v>41</v>
      </c>
      <c r="D41" s="16">
        <v>6</v>
      </c>
      <c r="E41" s="16">
        <v>2</v>
      </c>
      <c r="F41" s="16" t="s">
        <v>36</v>
      </c>
      <c r="G41" s="18">
        <v>1.55</v>
      </c>
      <c r="H41" s="19">
        <v>48</v>
      </c>
      <c r="I41" s="16">
        <v>0</v>
      </c>
      <c r="J41" s="16">
        <v>7</v>
      </c>
      <c r="K41" s="16" t="s">
        <v>44</v>
      </c>
      <c r="L41" s="20">
        <v>26</v>
      </c>
      <c r="M41" s="14" t="s">
        <v>49</v>
      </c>
      <c r="N41" s="16">
        <v>4.5</v>
      </c>
      <c r="O41" s="16">
        <v>7.8</v>
      </c>
      <c r="P41" s="14">
        <v>4</v>
      </c>
      <c r="Q41" s="14" t="s">
        <v>43</v>
      </c>
    </row>
    <row r="42" spans="1:17" ht="18.75" x14ac:dyDescent="0.3">
      <c r="A42" s="16">
        <v>25</v>
      </c>
      <c r="B42" s="16" t="s">
        <v>35</v>
      </c>
      <c r="C42" s="16" t="s">
        <v>44</v>
      </c>
      <c r="D42" s="16">
        <v>4</v>
      </c>
      <c r="E42" s="16">
        <v>5</v>
      </c>
      <c r="F42" s="16" t="s">
        <v>37</v>
      </c>
      <c r="G42" s="18">
        <v>1.69</v>
      </c>
      <c r="H42" s="19">
        <v>51.6</v>
      </c>
      <c r="I42" s="16">
        <v>8</v>
      </c>
      <c r="J42" s="16">
        <v>3</v>
      </c>
      <c r="K42" s="16" t="s">
        <v>47</v>
      </c>
      <c r="L42" s="20">
        <v>23</v>
      </c>
      <c r="M42" s="14" t="s">
        <v>36</v>
      </c>
      <c r="N42" s="16">
        <v>6</v>
      </c>
      <c r="O42" s="14">
        <v>12</v>
      </c>
      <c r="P42" s="14">
        <v>8</v>
      </c>
      <c r="Q42" s="14" t="s">
        <v>42</v>
      </c>
    </row>
    <row r="43" spans="1:17" ht="18.75" x14ac:dyDescent="0.3">
      <c r="A43" s="16">
        <v>26</v>
      </c>
      <c r="B43" s="16" t="s">
        <v>40</v>
      </c>
      <c r="C43" s="16" t="s">
        <v>36</v>
      </c>
      <c r="D43" s="16">
        <v>6</v>
      </c>
      <c r="E43" s="16">
        <v>4</v>
      </c>
      <c r="F43" s="16" t="s">
        <v>37</v>
      </c>
      <c r="G43" s="18">
        <v>1.54</v>
      </c>
      <c r="H43" s="19">
        <v>57</v>
      </c>
      <c r="I43" s="16">
        <v>6</v>
      </c>
      <c r="J43" s="16">
        <v>1</v>
      </c>
      <c r="K43" s="16" t="s">
        <v>50</v>
      </c>
      <c r="L43" s="20">
        <v>22</v>
      </c>
      <c r="M43" s="14" t="s">
        <v>36</v>
      </c>
      <c r="N43" s="16">
        <v>7.5</v>
      </c>
      <c r="O43" s="14">
        <v>9.5</v>
      </c>
      <c r="P43" s="14">
        <v>8.5</v>
      </c>
      <c r="Q43" s="14" t="s">
        <v>46</v>
      </c>
    </row>
    <row r="44" spans="1:17" ht="18.75" x14ac:dyDescent="0.3">
      <c r="A44" s="16">
        <v>27</v>
      </c>
      <c r="B44" s="16" t="s">
        <v>35</v>
      </c>
      <c r="C44" s="16" t="s">
        <v>44</v>
      </c>
      <c r="D44" s="16">
        <v>9</v>
      </c>
      <c r="E44" s="16">
        <v>3</v>
      </c>
      <c r="F44" s="16" t="s">
        <v>37</v>
      </c>
      <c r="G44" s="18">
        <v>1.62</v>
      </c>
      <c r="H44" s="19">
        <v>63</v>
      </c>
      <c r="I44" s="16">
        <v>8</v>
      </c>
      <c r="J44" s="16">
        <v>5</v>
      </c>
      <c r="K44" s="16" t="s">
        <v>44</v>
      </c>
      <c r="L44" s="20">
        <v>27</v>
      </c>
      <c r="M44" s="14" t="s">
        <v>51</v>
      </c>
      <c r="N44" s="16">
        <v>4</v>
      </c>
      <c r="O44" s="14">
        <v>10</v>
      </c>
      <c r="P44" s="14">
        <v>7</v>
      </c>
      <c r="Q44" s="14" t="s">
        <v>39</v>
      </c>
    </row>
    <row r="45" spans="1:17" ht="18.75" x14ac:dyDescent="0.3">
      <c r="A45" s="16">
        <v>28</v>
      </c>
      <c r="B45" s="16" t="s">
        <v>40</v>
      </c>
      <c r="C45" s="16" t="s">
        <v>41</v>
      </c>
      <c r="D45" s="16">
        <v>8</v>
      </c>
      <c r="E45" s="16">
        <v>8</v>
      </c>
      <c r="F45" s="16" t="s">
        <v>36</v>
      </c>
      <c r="G45" s="18">
        <v>1.65</v>
      </c>
      <c r="H45" s="19">
        <v>52</v>
      </c>
      <c r="I45" s="16">
        <v>1</v>
      </c>
      <c r="J45" s="16">
        <v>4</v>
      </c>
      <c r="K45" s="16" t="s">
        <v>44</v>
      </c>
      <c r="L45" s="20">
        <v>48</v>
      </c>
      <c r="M45" s="14" t="s">
        <v>51</v>
      </c>
      <c r="N45" s="16">
        <v>5.5</v>
      </c>
      <c r="O45" s="14">
        <v>8.1999999999999993</v>
      </c>
      <c r="P45" s="14">
        <v>2</v>
      </c>
      <c r="Q45" s="14" t="s">
        <v>45</v>
      </c>
    </row>
    <row r="46" spans="1:17" ht="18.75" x14ac:dyDescent="0.3">
      <c r="A46" s="16">
        <v>29</v>
      </c>
      <c r="B46" s="16" t="s">
        <v>35</v>
      </c>
      <c r="C46" s="16" t="s">
        <v>44</v>
      </c>
      <c r="D46" s="16">
        <v>11</v>
      </c>
      <c r="E46" s="16">
        <v>2</v>
      </c>
      <c r="F46" s="16" t="s">
        <v>37</v>
      </c>
      <c r="G46" s="18">
        <v>1.54</v>
      </c>
      <c r="H46" s="19">
        <v>49</v>
      </c>
      <c r="I46" s="16">
        <v>3</v>
      </c>
      <c r="J46" s="16">
        <v>3</v>
      </c>
      <c r="K46" s="16" t="s">
        <v>35</v>
      </c>
      <c r="L46" s="20">
        <v>22</v>
      </c>
      <c r="M46" s="14" t="s">
        <v>36</v>
      </c>
      <c r="N46" s="16">
        <v>6.5</v>
      </c>
      <c r="O46" s="14">
        <v>9.8000000000000007</v>
      </c>
      <c r="P46" s="14">
        <v>6</v>
      </c>
      <c r="Q46" s="14" t="s">
        <v>48</v>
      </c>
    </row>
    <row r="47" spans="1:17" ht="18.75" x14ac:dyDescent="0.3">
      <c r="A47" s="16">
        <v>30</v>
      </c>
      <c r="B47" s="16" t="s">
        <v>35</v>
      </c>
      <c r="C47" s="16" t="s">
        <v>41</v>
      </c>
      <c r="D47" s="16">
        <v>15</v>
      </c>
      <c r="E47" s="16">
        <v>3</v>
      </c>
      <c r="F47" s="16" t="s">
        <v>36</v>
      </c>
      <c r="G47" s="18">
        <v>1.65</v>
      </c>
      <c r="H47" s="19">
        <v>59</v>
      </c>
      <c r="I47" s="16">
        <v>1</v>
      </c>
      <c r="J47" s="16">
        <v>5</v>
      </c>
      <c r="K47" s="16" t="s">
        <v>50</v>
      </c>
      <c r="L47" s="20">
        <v>27</v>
      </c>
      <c r="M47" s="14" t="s">
        <v>36</v>
      </c>
      <c r="N47" s="16">
        <v>2</v>
      </c>
      <c r="O47" s="14">
        <v>11.5</v>
      </c>
      <c r="P47" s="14">
        <v>2</v>
      </c>
      <c r="Q47" s="14" t="s">
        <v>43</v>
      </c>
    </row>
    <row r="48" spans="1:17" ht="18.75" x14ac:dyDescent="0.3">
      <c r="A48" s="16">
        <v>31</v>
      </c>
      <c r="B48" s="16" t="s">
        <v>35</v>
      </c>
      <c r="C48" s="16" t="s">
        <v>41</v>
      </c>
      <c r="D48" s="16">
        <v>13</v>
      </c>
      <c r="E48" s="16">
        <v>5</v>
      </c>
      <c r="F48" s="16" t="s">
        <v>36</v>
      </c>
      <c r="G48" s="18">
        <v>1.61</v>
      </c>
      <c r="H48" s="19">
        <v>52</v>
      </c>
      <c r="I48" s="16">
        <v>2</v>
      </c>
      <c r="J48" s="16">
        <v>3</v>
      </c>
      <c r="K48" s="16" t="s">
        <v>44</v>
      </c>
      <c r="L48" s="20">
        <v>22</v>
      </c>
      <c r="M48" s="14" t="s">
        <v>36</v>
      </c>
      <c r="N48" s="16">
        <v>4.5</v>
      </c>
      <c r="O48" s="14">
        <v>9.6</v>
      </c>
      <c r="P48" s="14">
        <v>0</v>
      </c>
      <c r="Q48" s="14" t="s">
        <v>45</v>
      </c>
    </row>
    <row r="49" spans="1:17" ht="18.75" x14ac:dyDescent="0.3">
      <c r="A49" s="16">
        <v>32</v>
      </c>
      <c r="B49" s="16" t="s">
        <v>40</v>
      </c>
      <c r="C49" s="16" t="s">
        <v>36</v>
      </c>
      <c r="D49" s="16">
        <v>8</v>
      </c>
      <c r="E49" s="16">
        <v>6</v>
      </c>
      <c r="F49" s="16" t="s">
        <v>37</v>
      </c>
      <c r="G49" s="18">
        <v>1.71</v>
      </c>
      <c r="H49" s="19">
        <v>70</v>
      </c>
      <c r="I49" s="16">
        <v>1</v>
      </c>
      <c r="J49" s="16">
        <v>3</v>
      </c>
      <c r="K49" s="16" t="s">
        <v>47</v>
      </c>
      <c r="L49" s="20">
        <v>28</v>
      </c>
      <c r="M49" s="14" t="s">
        <v>49</v>
      </c>
      <c r="N49" s="16">
        <v>5.5</v>
      </c>
      <c r="O49" s="14">
        <v>10.6</v>
      </c>
      <c r="P49" s="14">
        <v>1.5</v>
      </c>
      <c r="Q49" s="14" t="s">
        <v>46</v>
      </c>
    </row>
    <row r="50" spans="1:17" ht="18.75" x14ac:dyDescent="0.3">
      <c r="A50" s="16">
        <v>33</v>
      </c>
      <c r="B50" s="16" t="s">
        <v>35</v>
      </c>
      <c r="C50" s="16" t="s">
        <v>41</v>
      </c>
      <c r="D50" s="16">
        <v>5</v>
      </c>
      <c r="E50" s="16">
        <v>5</v>
      </c>
      <c r="F50" s="16" t="s">
        <v>36</v>
      </c>
      <c r="G50" s="18">
        <v>1.65</v>
      </c>
      <c r="H50" s="19">
        <v>56</v>
      </c>
      <c r="I50" s="16">
        <v>2</v>
      </c>
      <c r="J50" s="16">
        <v>7</v>
      </c>
      <c r="K50" s="16" t="s">
        <v>47</v>
      </c>
      <c r="L50" s="20">
        <v>21</v>
      </c>
      <c r="M50" s="14" t="s">
        <v>36</v>
      </c>
      <c r="N50" s="16">
        <v>8.5</v>
      </c>
      <c r="O50" s="14">
        <v>9</v>
      </c>
      <c r="P50" s="14">
        <v>7</v>
      </c>
      <c r="Q50" s="14" t="s">
        <v>45</v>
      </c>
    </row>
    <row r="51" spans="1:17" ht="18.75" x14ac:dyDescent="0.3">
      <c r="A51" s="16">
        <v>34</v>
      </c>
      <c r="B51" s="16" t="s">
        <v>35</v>
      </c>
      <c r="C51" s="16" t="s">
        <v>44</v>
      </c>
      <c r="D51" s="16">
        <v>8</v>
      </c>
      <c r="E51" s="16">
        <v>6</v>
      </c>
      <c r="F51" s="16" t="s">
        <v>37</v>
      </c>
      <c r="G51" s="18">
        <v>1.67</v>
      </c>
      <c r="H51" s="19">
        <v>58</v>
      </c>
      <c r="I51" s="16">
        <v>4</v>
      </c>
      <c r="J51" s="16">
        <v>4</v>
      </c>
      <c r="K51" s="16" t="s">
        <v>50</v>
      </c>
      <c r="L51" s="20">
        <v>29</v>
      </c>
      <c r="M51" s="14" t="s">
        <v>49</v>
      </c>
      <c r="N51" s="16">
        <v>5</v>
      </c>
      <c r="O51" s="16">
        <v>7.8</v>
      </c>
      <c r="P51" s="14">
        <v>2.5</v>
      </c>
      <c r="Q51" s="14" t="s">
        <v>39</v>
      </c>
    </row>
    <row r="52" spans="1:17" ht="18.75" x14ac:dyDescent="0.3">
      <c r="A52" s="16">
        <v>35</v>
      </c>
      <c r="B52" s="16" t="s">
        <v>40</v>
      </c>
      <c r="C52" s="16" t="s">
        <v>36</v>
      </c>
      <c r="D52" s="16">
        <v>3</v>
      </c>
      <c r="E52" s="16">
        <v>8</v>
      </c>
      <c r="F52" s="16" t="s">
        <v>36</v>
      </c>
      <c r="G52" s="18">
        <v>1.73</v>
      </c>
      <c r="H52" s="19">
        <v>77</v>
      </c>
      <c r="I52" s="16">
        <v>7</v>
      </c>
      <c r="J52" s="16">
        <v>3</v>
      </c>
      <c r="K52" s="16" t="s">
        <v>47</v>
      </c>
      <c r="L52" s="20">
        <v>29</v>
      </c>
      <c r="M52" s="14" t="s">
        <v>51</v>
      </c>
      <c r="N52" s="16">
        <v>6.5</v>
      </c>
      <c r="O52" s="14">
        <v>9.6999999999999993</v>
      </c>
      <c r="P52" s="14">
        <v>4.5</v>
      </c>
      <c r="Q52" s="14" t="s">
        <v>40</v>
      </c>
    </row>
    <row r="53" spans="1:17" ht="18.75" x14ac:dyDescent="0.3">
      <c r="A53" s="16">
        <v>36</v>
      </c>
      <c r="B53" s="16" t="s">
        <v>35</v>
      </c>
      <c r="C53" s="16" t="s">
        <v>44</v>
      </c>
      <c r="D53" s="16">
        <v>7</v>
      </c>
      <c r="E53" s="16">
        <v>6</v>
      </c>
      <c r="F53" s="16" t="s">
        <v>37</v>
      </c>
      <c r="G53" s="18">
        <v>1.6</v>
      </c>
      <c r="H53" s="19">
        <v>47</v>
      </c>
      <c r="I53" s="16">
        <v>5</v>
      </c>
      <c r="J53" s="16">
        <v>6</v>
      </c>
      <c r="K53" s="16" t="s">
        <v>42</v>
      </c>
      <c r="L53" s="20">
        <v>18</v>
      </c>
      <c r="M53" s="14" t="s">
        <v>36</v>
      </c>
      <c r="N53" s="16">
        <v>5</v>
      </c>
      <c r="O53" s="14">
        <v>12</v>
      </c>
      <c r="P53" s="14">
        <v>4</v>
      </c>
      <c r="Q53" s="14" t="s">
        <v>46</v>
      </c>
    </row>
    <row r="54" spans="1:17" ht="18.75" x14ac:dyDescent="0.3">
      <c r="A54" s="16">
        <v>37</v>
      </c>
      <c r="B54" s="16" t="s">
        <v>40</v>
      </c>
      <c r="C54" s="16" t="s">
        <v>44</v>
      </c>
      <c r="D54" s="16">
        <v>10</v>
      </c>
      <c r="E54" s="16">
        <v>9</v>
      </c>
      <c r="F54" s="16" t="s">
        <v>37</v>
      </c>
      <c r="G54" s="18">
        <v>1.7</v>
      </c>
      <c r="H54" s="19">
        <v>95</v>
      </c>
      <c r="I54" s="16">
        <v>10</v>
      </c>
      <c r="J54" s="16">
        <v>4</v>
      </c>
      <c r="K54" s="16" t="s">
        <v>38</v>
      </c>
      <c r="L54" s="20">
        <v>30</v>
      </c>
      <c r="M54" s="14" t="s">
        <v>49</v>
      </c>
      <c r="N54" s="16">
        <v>4</v>
      </c>
      <c r="O54" s="14">
        <v>10.5</v>
      </c>
      <c r="P54" s="14">
        <v>7</v>
      </c>
      <c r="Q54" s="14" t="s">
        <v>45</v>
      </c>
    </row>
    <row r="55" spans="1:17" ht="18.75" x14ac:dyDescent="0.3">
      <c r="A55" s="16">
        <v>38</v>
      </c>
      <c r="B55" s="16" t="s">
        <v>40</v>
      </c>
      <c r="C55" s="16" t="s">
        <v>41</v>
      </c>
      <c r="D55" s="16">
        <v>5</v>
      </c>
      <c r="E55" s="16">
        <v>7</v>
      </c>
      <c r="F55" s="16" t="s">
        <v>36</v>
      </c>
      <c r="G55" s="18">
        <v>1.74</v>
      </c>
      <c r="H55" s="19">
        <v>84</v>
      </c>
      <c r="I55" s="16">
        <v>6</v>
      </c>
      <c r="J55" s="16">
        <v>0</v>
      </c>
      <c r="K55" s="16" t="s">
        <v>38</v>
      </c>
      <c r="L55" s="20">
        <v>32</v>
      </c>
      <c r="M55" s="14" t="s">
        <v>49</v>
      </c>
      <c r="N55" s="16">
        <v>5.5</v>
      </c>
      <c r="O55" s="14">
        <v>9.9</v>
      </c>
      <c r="P55" s="14">
        <v>9</v>
      </c>
      <c r="Q55" s="14" t="s">
        <v>43</v>
      </c>
    </row>
    <row r="56" spans="1:17" ht="18.75" x14ac:dyDescent="0.3">
      <c r="A56" s="16">
        <v>39</v>
      </c>
      <c r="B56" s="16" t="s">
        <v>35</v>
      </c>
      <c r="C56" s="16" t="s">
        <v>36</v>
      </c>
      <c r="D56" s="16">
        <v>6</v>
      </c>
      <c r="E56" s="16">
        <v>8</v>
      </c>
      <c r="F56" s="16" t="s">
        <v>37</v>
      </c>
      <c r="G56" s="18">
        <v>1.7</v>
      </c>
      <c r="H56" s="19">
        <v>60</v>
      </c>
      <c r="I56" s="16">
        <v>5</v>
      </c>
      <c r="J56" s="16">
        <v>2</v>
      </c>
      <c r="K56" s="16" t="s">
        <v>44</v>
      </c>
      <c r="L56" s="20">
        <v>19</v>
      </c>
      <c r="M56" s="14" t="s">
        <v>36</v>
      </c>
      <c r="N56" s="16">
        <v>6</v>
      </c>
      <c r="O56" s="14">
        <v>9.5</v>
      </c>
      <c r="P56" s="14">
        <v>9.5</v>
      </c>
      <c r="Q56" s="14" t="s">
        <v>45</v>
      </c>
    </row>
    <row r="57" spans="1:17" ht="18.75" x14ac:dyDescent="0.3">
      <c r="A57" s="16">
        <v>40</v>
      </c>
      <c r="B57" s="16" t="s">
        <v>40</v>
      </c>
      <c r="C57" s="16" t="s">
        <v>44</v>
      </c>
      <c r="D57" s="16">
        <v>3</v>
      </c>
      <c r="E57" s="16">
        <v>5</v>
      </c>
      <c r="F57" s="16" t="s">
        <v>37</v>
      </c>
      <c r="G57" s="18">
        <v>1.73</v>
      </c>
      <c r="H57" s="19">
        <v>73</v>
      </c>
      <c r="I57" s="16">
        <v>4</v>
      </c>
      <c r="J57" s="16">
        <v>1</v>
      </c>
      <c r="K57" s="16" t="s">
        <v>50</v>
      </c>
      <c r="L57" s="20">
        <v>39</v>
      </c>
      <c r="M57" s="14" t="s">
        <v>38</v>
      </c>
      <c r="N57" s="16">
        <v>4.5</v>
      </c>
      <c r="O57" s="14">
        <v>10.9</v>
      </c>
      <c r="P57" s="14">
        <v>2.5</v>
      </c>
      <c r="Q57" s="14" t="s">
        <v>42</v>
      </c>
    </row>
    <row r="58" spans="1:17" ht="18.75" x14ac:dyDescent="0.3">
      <c r="A58" s="16">
        <v>41</v>
      </c>
      <c r="B58" s="16" t="s">
        <v>35</v>
      </c>
      <c r="C58" s="16" t="s">
        <v>41</v>
      </c>
      <c r="D58" s="16">
        <v>2</v>
      </c>
      <c r="E58" s="16">
        <v>3</v>
      </c>
      <c r="F58" s="16" t="s">
        <v>37</v>
      </c>
      <c r="G58" s="18">
        <v>1.7</v>
      </c>
      <c r="H58" s="19">
        <v>55</v>
      </c>
      <c r="I58" s="16">
        <v>5</v>
      </c>
      <c r="J58" s="16">
        <v>4</v>
      </c>
      <c r="K58" s="16" t="s">
        <v>44</v>
      </c>
      <c r="L58" s="20">
        <v>32</v>
      </c>
      <c r="M58" s="14" t="s">
        <v>51</v>
      </c>
      <c r="N58" s="16">
        <v>5.5</v>
      </c>
      <c r="O58" s="14">
        <v>14</v>
      </c>
      <c r="P58" s="14">
        <v>4.5</v>
      </c>
      <c r="Q58" s="14" t="s">
        <v>46</v>
      </c>
    </row>
    <row r="59" spans="1:17" ht="18.75" x14ac:dyDescent="0.3">
      <c r="A59" s="16">
        <v>42</v>
      </c>
      <c r="B59" s="16" t="s">
        <v>35</v>
      </c>
      <c r="C59" s="16" t="s">
        <v>36</v>
      </c>
      <c r="D59" s="16">
        <v>7</v>
      </c>
      <c r="E59" s="16">
        <v>5</v>
      </c>
      <c r="F59" s="16" t="s">
        <v>37</v>
      </c>
      <c r="G59" s="18">
        <v>1.45</v>
      </c>
      <c r="H59" s="19">
        <v>44</v>
      </c>
      <c r="I59" s="16">
        <v>2</v>
      </c>
      <c r="J59" s="16">
        <v>2</v>
      </c>
      <c r="K59" s="16" t="s">
        <v>50</v>
      </c>
      <c r="L59" s="20">
        <v>39</v>
      </c>
      <c r="M59" s="14" t="s">
        <v>49</v>
      </c>
      <c r="N59" s="16">
        <v>6.5</v>
      </c>
      <c r="O59" s="14">
        <v>11.7</v>
      </c>
      <c r="P59" s="14">
        <v>6.5</v>
      </c>
      <c r="Q59" s="14" t="s">
        <v>45</v>
      </c>
    </row>
    <row r="60" spans="1:17" ht="18.75" x14ac:dyDescent="0.3">
      <c r="A60" s="16">
        <v>43</v>
      </c>
      <c r="B60" s="16" t="s">
        <v>40</v>
      </c>
      <c r="C60" s="16" t="s">
        <v>41</v>
      </c>
      <c r="D60" s="16">
        <v>0</v>
      </c>
      <c r="E60" s="16">
        <v>7</v>
      </c>
      <c r="F60" s="16" t="s">
        <v>37</v>
      </c>
      <c r="G60" s="18">
        <v>1.76</v>
      </c>
      <c r="H60" s="19">
        <v>75</v>
      </c>
      <c r="I60" s="16">
        <v>7</v>
      </c>
      <c r="J60" s="16">
        <v>4</v>
      </c>
      <c r="K60" s="16" t="s">
        <v>35</v>
      </c>
      <c r="L60" s="20">
        <v>30</v>
      </c>
      <c r="M60" s="14" t="s">
        <v>49</v>
      </c>
      <c r="N60" s="16">
        <v>4</v>
      </c>
      <c r="O60" s="14">
        <v>14.5</v>
      </c>
      <c r="P60" s="14">
        <v>9.5</v>
      </c>
      <c r="Q60" s="14" t="s">
        <v>37</v>
      </c>
    </row>
    <row r="61" spans="1:17" ht="18.75" x14ac:dyDescent="0.3">
      <c r="A61" s="16">
        <v>44</v>
      </c>
      <c r="B61" s="16" t="s">
        <v>35</v>
      </c>
      <c r="C61" s="16" t="s">
        <v>44</v>
      </c>
      <c r="D61" s="16">
        <v>4</v>
      </c>
      <c r="E61" s="16">
        <v>3</v>
      </c>
      <c r="F61" s="16" t="s">
        <v>37</v>
      </c>
      <c r="G61" s="18">
        <v>1.68</v>
      </c>
      <c r="H61" s="19">
        <v>55</v>
      </c>
      <c r="I61" s="16">
        <v>5</v>
      </c>
      <c r="J61" s="16">
        <v>3</v>
      </c>
      <c r="K61" s="16" t="s">
        <v>42</v>
      </c>
      <c r="L61" s="20">
        <v>33</v>
      </c>
      <c r="M61" s="14" t="s">
        <v>36</v>
      </c>
      <c r="N61" s="16">
        <v>5</v>
      </c>
      <c r="O61" s="14">
        <v>13.8</v>
      </c>
      <c r="P61" s="14">
        <v>9</v>
      </c>
      <c r="Q61" s="14" t="s">
        <v>43</v>
      </c>
    </row>
    <row r="62" spans="1:17" ht="18.75" x14ac:dyDescent="0.3">
      <c r="A62" s="16">
        <v>45</v>
      </c>
      <c r="B62" s="16" t="s">
        <v>35</v>
      </c>
      <c r="C62" s="16" t="s">
        <v>41</v>
      </c>
      <c r="D62" s="16">
        <v>2</v>
      </c>
      <c r="E62" s="16">
        <v>4</v>
      </c>
      <c r="F62" s="16" t="s">
        <v>37</v>
      </c>
      <c r="G62" s="18">
        <v>1.55</v>
      </c>
      <c r="H62" s="19">
        <v>49</v>
      </c>
      <c r="I62" s="16">
        <v>0</v>
      </c>
      <c r="J62" s="16">
        <v>4</v>
      </c>
      <c r="K62" s="16" t="s">
        <v>44</v>
      </c>
      <c r="L62" s="20">
        <v>35</v>
      </c>
      <c r="M62" s="14" t="s">
        <v>51</v>
      </c>
      <c r="N62" s="16">
        <v>6</v>
      </c>
      <c r="O62" s="14">
        <v>10</v>
      </c>
      <c r="P62" s="14">
        <v>8</v>
      </c>
      <c r="Q62" s="14" t="s">
        <v>37</v>
      </c>
    </row>
    <row r="63" spans="1:17" ht="18.75" x14ac:dyDescent="0.3">
      <c r="A63" s="16">
        <v>46</v>
      </c>
      <c r="B63" s="16" t="s">
        <v>35</v>
      </c>
      <c r="C63" s="16" t="s">
        <v>41</v>
      </c>
      <c r="D63" s="16">
        <v>5</v>
      </c>
      <c r="E63" s="16">
        <v>3</v>
      </c>
      <c r="F63" s="16" t="s">
        <v>37</v>
      </c>
      <c r="G63" s="18">
        <v>1.7</v>
      </c>
      <c r="H63" s="19">
        <v>50</v>
      </c>
      <c r="I63" s="16">
        <v>0</v>
      </c>
      <c r="J63" s="16">
        <v>6</v>
      </c>
      <c r="K63" s="16" t="s">
        <v>50</v>
      </c>
      <c r="L63" s="20">
        <v>42</v>
      </c>
      <c r="M63" s="14" t="s">
        <v>49</v>
      </c>
      <c r="N63" s="16">
        <v>5.5</v>
      </c>
      <c r="O63" s="14">
        <v>10.8</v>
      </c>
      <c r="P63" s="14">
        <v>2.5</v>
      </c>
      <c r="Q63" s="14" t="s">
        <v>45</v>
      </c>
    </row>
    <row r="64" spans="1:17" ht="18.75" x14ac:dyDescent="0.3">
      <c r="A64" s="16">
        <v>47</v>
      </c>
      <c r="B64" s="16" t="s">
        <v>35</v>
      </c>
      <c r="C64" s="16" t="s">
        <v>36</v>
      </c>
      <c r="D64" s="16">
        <v>7</v>
      </c>
      <c r="E64" s="16">
        <v>8</v>
      </c>
      <c r="F64" s="16" t="s">
        <v>37</v>
      </c>
      <c r="G64" s="18">
        <v>1.55</v>
      </c>
      <c r="H64" s="19">
        <v>54.5</v>
      </c>
      <c r="I64" s="16">
        <v>4</v>
      </c>
      <c r="J64" s="16">
        <v>2</v>
      </c>
      <c r="K64" s="16" t="s">
        <v>42</v>
      </c>
      <c r="L64" s="20">
        <v>33</v>
      </c>
      <c r="M64" s="14" t="s">
        <v>38</v>
      </c>
      <c r="N64" s="16">
        <v>9</v>
      </c>
      <c r="O64" s="14">
        <v>11</v>
      </c>
      <c r="P64" s="14">
        <v>4</v>
      </c>
      <c r="Q64" s="14" t="s">
        <v>39</v>
      </c>
    </row>
    <row r="65" spans="1:17" ht="18.75" x14ac:dyDescent="0.3">
      <c r="A65" s="16">
        <v>48</v>
      </c>
      <c r="B65" s="16" t="s">
        <v>35</v>
      </c>
      <c r="C65" s="16" t="s">
        <v>44</v>
      </c>
      <c r="D65" s="16">
        <v>9</v>
      </c>
      <c r="E65" s="16">
        <v>9</v>
      </c>
      <c r="F65" s="16" t="s">
        <v>37</v>
      </c>
      <c r="G65" s="18">
        <v>1.6</v>
      </c>
      <c r="H65" s="19">
        <v>50</v>
      </c>
      <c r="I65" s="16">
        <v>2</v>
      </c>
      <c r="J65" s="16">
        <v>1</v>
      </c>
      <c r="K65" s="16" t="s">
        <v>38</v>
      </c>
      <c r="L65" s="20">
        <v>25</v>
      </c>
      <c r="M65" s="14" t="s">
        <v>51</v>
      </c>
      <c r="N65" s="16">
        <v>5.5</v>
      </c>
      <c r="O65" s="14">
        <v>15.8</v>
      </c>
      <c r="P65" s="14">
        <v>9.5</v>
      </c>
      <c r="Q65" s="14" t="s">
        <v>45</v>
      </c>
    </row>
    <row r="66" spans="1:17" ht="18.75" x14ac:dyDescent="0.3">
      <c r="A66" s="16">
        <v>49</v>
      </c>
      <c r="B66" s="16" t="s">
        <v>40</v>
      </c>
      <c r="C66" s="16" t="s">
        <v>36</v>
      </c>
      <c r="D66" s="16">
        <v>4</v>
      </c>
      <c r="E66" s="16">
        <v>3</v>
      </c>
      <c r="F66" s="16" t="s">
        <v>37</v>
      </c>
      <c r="G66" s="18">
        <v>1.79</v>
      </c>
      <c r="H66" s="19">
        <v>71</v>
      </c>
      <c r="I66" s="16">
        <v>7</v>
      </c>
      <c r="J66" s="16">
        <v>3</v>
      </c>
      <c r="K66" s="16" t="s">
        <v>44</v>
      </c>
      <c r="L66" s="20">
        <v>34</v>
      </c>
      <c r="M66" s="14" t="s">
        <v>36</v>
      </c>
      <c r="N66" s="16">
        <v>7</v>
      </c>
      <c r="O66" s="14">
        <v>9.5</v>
      </c>
      <c r="P66" s="14">
        <v>3</v>
      </c>
      <c r="Q66" s="14" t="s">
        <v>46</v>
      </c>
    </row>
    <row r="67" spans="1:17" ht="18.75" x14ac:dyDescent="0.3">
      <c r="A67" s="16">
        <v>50</v>
      </c>
      <c r="B67" s="16" t="s">
        <v>40</v>
      </c>
      <c r="C67" s="16" t="s">
        <v>41</v>
      </c>
      <c r="D67" s="16">
        <v>6</v>
      </c>
      <c r="E67" s="16">
        <v>7</v>
      </c>
      <c r="F67" s="16" t="s">
        <v>37</v>
      </c>
      <c r="G67" s="18">
        <v>1.83</v>
      </c>
      <c r="H67" s="19">
        <v>86</v>
      </c>
      <c r="I67" s="16">
        <v>7</v>
      </c>
      <c r="J67" s="16">
        <v>2</v>
      </c>
      <c r="K67" s="16" t="s">
        <v>50</v>
      </c>
      <c r="L67" s="20">
        <v>36</v>
      </c>
      <c r="M67" s="14" t="s">
        <v>51</v>
      </c>
      <c r="N67" s="16">
        <v>5</v>
      </c>
      <c r="O67" s="14">
        <v>11.8</v>
      </c>
      <c r="P67" s="14">
        <v>7.5</v>
      </c>
      <c r="Q67" s="14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47D4-1BCC-4F8C-9B6A-0A4913D10D78}">
  <dimension ref="A1:V53"/>
  <sheetViews>
    <sheetView tabSelected="1" topLeftCell="A5" zoomScale="85" zoomScaleNormal="85" workbookViewId="0">
      <selection activeCell="Q24" sqref="Q24"/>
    </sheetView>
  </sheetViews>
  <sheetFormatPr defaultRowHeight="15" x14ac:dyDescent="0.25"/>
  <cols>
    <col min="7" max="7" width="9.5703125" bestFit="1" customWidth="1"/>
    <col min="8" max="8" width="15.28515625" customWidth="1"/>
    <col min="9" max="9" width="13.140625" customWidth="1"/>
    <col min="10" max="10" width="14.5703125" customWidth="1"/>
    <col min="20" max="20" width="11.28515625" customWidth="1"/>
    <col min="21" max="21" width="13.140625" customWidth="1"/>
    <col min="22" max="22" width="12.85546875" customWidth="1"/>
  </cols>
  <sheetData>
    <row r="1" spans="1:22" ht="18.75" x14ac:dyDescent="0.3">
      <c r="A1" s="21">
        <v>2</v>
      </c>
      <c r="B1" s="21">
        <v>10</v>
      </c>
      <c r="C1" s="21">
        <v>12</v>
      </c>
      <c r="D1" s="22" t="s">
        <v>1</v>
      </c>
    </row>
    <row r="2" spans="1:22" ht="18.75" x14ac:dyDescent="0.3">
      <c r="A2" s="11" t="s">
        <v>15</v>
      </c>
      <c r="B2" s="21" t="s">
        <v>23</v>
      </c>
      <c r="C2" s="21" t="s">
        <v>53</v>
      </c>
      <c r="D2" s="22" t="s">
        <v>6</v>
      </c>
    </row>
    <row r="3" spans="1:22" ht="18.75" x14ac:dyDescent="0.3">
      <c r="A3" s="21"/>
      <c r="B3" s="21"/>
      <c r="C3" s="21"/>
      <c r="D3" s="22"/>
    </row>
    <row r="4" spans="1:22" ht="18.75" x14ac:dyDescent="0.25">
      <c r="A4" s="16" t="s">
        <v>36</v>
      </c>
      <c r="B4" s="16" t="s">
        <v>38</v>
      </c>
      <c r="C4" s="16" t="str">
        <f>A4&amp;B4</f>
        <v>SD</v>
      </c>
      <c r="D4" s="22"/>
      <c r="H4" t="s">
        <v>64</v>
      </c>
      <c r="N4" t="s">
        <v>65</v>
      </c>
      <c r="T4" t="s">
        <v>67</v>
      </c>
    </row>
    <row r="5" spans="1:22" ht="18.75" x14ac:dyDescent="0.25">
      <c r="A5" s="16" t="s">
        <v>36</v>
      </c>
      <c r="B5" s="16" t="s">
        <v>35</v>
      </c>
      <c r="C5" s="16" t="str">
        <f t="shared" ref="C5:C53" si="0">A5&amp;B5</f>
        <v>SF</v>
      </c>
      <c r="D5" s="22"/>
      <c r="G5" s="23" t="s">
        <v>52</v>
      </c>
      <c r="H5" s="23" t="s">
        <v>60</v>
      </c>
      <c r="I5" s="23" t="s">
        <v>61</v>
      </c>
      <c r="J5" s="23" t="s">
        <v>62</v>
      </c>
      <c r="K5" s="23" t="s">
        <v>63</v>
      </c>
      <c r="M5" s="23" t="s">
        <v>52</v>
      </c>
      <c r="N5" s="23" t="s">
        <v>60</v>
      </c>
      <c r="O5" s="23" t="s">
        <v>61</v>
      </c>
      <c r="P5" s="23" t="s">
        <v>62</v>
      </c>
      <c r="Q5" s="23" t="s">
        <v>63</v>
      </c>
      <c r="S5" s="23" t="s">
        <v>52</v>
      </c>
      <c r="T5" s="23" t="s">
        <v>60</v>
      </c>
      <c r="U5" s="23" t="s">
        <v>61</v>
      </c>
      <c r="V5" s="23" t="s">
        <v>62</v>
      </c>
    </row>
    <row r="6" spans="1:22" ht="18.75" x14ac:dyDescent="0.25">
      <c r="A6" s="16" t="s">
        <v>41</v>
      </c>
      <c r="B6" s="16" t="s">
        <v>42</v>
      </c>
      <c r="C6" s="16" t="str">
        <f t="shared" si="0"/>
        <v>HO</v>
      </c>
      <c r="D6" s="22"/>
      <c r="G6" s="23" t="s">
        <v>54</v>
      </c>
      <c r="H6" s="23">
        <f>COUNTIF($C$4:$C$53,"EF")</f>
        <v>7</v>
      </c>
      <c r="I6" s="23">
        <f>COUNTIF($C$4:$C$53,"HF")</f>
        <v>1</v>
      </c>
      <c r="J6" s="23">
        <f>COUNTIF($C$4:$C$53,"SF")</f>
        <v>1</v>
      </c>
      <c r="K6" s="23">
        <f>SUM(H6:J6)</f>
        <v>9</v>
      </c>
      <c r="M6" s="23" t="s">
        <v>54</v>
      </c>
      <c r="N6" s="23">
        <f>(Q6/$Q$12)*$N$12</f>
        <v>3.2399999999999998</v>
      </c>
      <c r="O6" s="23">
        <f>(Q6/$Q$12)*$O$12</f>
        <v>2.88</v>
      </c>
      <c r="P6" s="23">
        <f>(Q6/$Q$12)*$P$12</f>
        <v>2.88</v>
      </c>
      <c r="Q6" s="23">
        <f>K6</f>
        <v>9</v>
      </c>
      <c r="S6" s="23" t="s">
        <v>54</v>
      </c>
      <c r="T6" s="23">
        <f>(N16*N16)/N6</f>
        <v>4.3634567901234576</v>
      </c>
      <c r="U6" s="23">
        <f t="shared" ref="U6:V11" si="1">(O16*O16)/O6</f>
        <v>1.2272222222222222</v>
      </c>
      <c r="V6" s="23">
        <f t="shared" si="1"/>
        <v>1.2272222222222222</v>
      </c>
    </row>
    <row r="7" spans="1:22" ht="18.75" x14ac:dyDescent="0.25">
      <c r="A7" s="16" t="s">
        <v>44</v>
      </c>
      <c r="B7" s="16" t="s">
        <v>35</v>
      </c>
      <c r="C7" s="16" t="str">
        <f t="shared" si="0"/>
        <v>EF</v>
      </c>
      <c r="G7" s="23" t="s">
        <v>55</v>
      </c>
      <c r="H7" s="23">
        <f>COUNTIF($C$4:$C$53,"EP")</f>
        <v>4</v>
      </c>
      <c r="I7" s="23">
        <f>COUNTIF($C$4:$C$53,"HP")</f>
        <v>5</v>
      </c>
      <c r="J7" s="23">
        <f>COUNTIF($C$4:$C$53,"SP")</f>
        <v>3</v>
      </c>
      <c r="K7" s="23">
        <f t="shared" ref="K7:K11" si="2">SUM(H7:J7)</f>
        <v>12</v>
      </c>
      <c r="M7" s="23" t="s">
        <v>55</v>
      </c>
      <c r="N7" s="23">
        <f t="shared" ref="N7:N11" si="3">(Q7/$Q$12)*$N$12</f>
        <v>4.32</v>
      </c>
      <c r="O7" s="23">
        <f t="shared" ref="O7:P11" si="4">(Q7/$Q$12)*$O$12</f>
        <v>3.84</v>
      </c>
      <c r="P7" s="23">
        <f t="shared" ref="P6:P10" si="5">(Q7/$Q$12)*$P$12</f>
        <v>3.84</v>
      </c>
      <c r="Q7" s="23">
        <f t="shared" ref="Q7:Q11" si="6">K7</f>
        <v>12</v>
      </c>
      <c r="S7" s="23" t="s">
        <v>55</v>
      </c>
      <c r="T7" s="23">
        <f t="shared" ref="T7:T11" si="7">(N17*N17)/N7</f>
        <v>2.3703703703703744E-2</v>
      </c>
      <c r="U7" s="23">
        <f t="shared" si="1"/>
        <v>0.35041666666666677</v>
      </c>
      <c r="V7" s="23">
        <f t="shared" si="1"/>
        <v>0.18374999999999994</v>
      </c>
    </row>
    <row r="8" spans="1:22" ht="18.75" x14ac:dyDescent="0.25">
      <c r="A8" s="16" t="s">
        <v>44</v>
      </c>
      <c r="B8" s="16" t="s">
        <v>44</v>
      </c>
      <c r="C8" s="16" t="str">
        <f t="shared" si="0"/>
        <v>EE</v>
      </c>
      <c r="G8" s="23" t="s">
        <v>56</v>
      </c>
      <c r="H8" s="23">
        <f>COUNTIF($C$4:$C$53,"EA")</f>
        <v>1</v>
      </c>
      <c r="I8" s="23">
        <f>COUNTIF($C$4:$C$53,"HA")</f>
        <v>2</v>
      </c>
      <c r="J8" s="23">
        <f>COUNTIF($C$4:$C$53,"SA")</f>
        <v>4</v>
      </c>
      <c r="K8" s="23">
        <f t="shared" si="2"/>
        <v>7</v>
      </c>
      <c r="M8" s="23" t="s">
        <v>56</v>
      </c>
      <c r="N8" s="23">
        <f t="shared" si="3"/>
        <v>2.5200000000000005</v>
      </c>
      <c r="O8" s="23">
        <f t="shared" si="4"/>
        <v>2.2400000000000002</v>
      </c>
      <c r="P8" s="23">
        <f>(Q8/$Q$12)*$P$12</f>
        <v>2.2400000000000002</v>
      </c>
      <c r="Q8" s="23">
        <f t="shared" si="6"/>
        <v>7</v>
      </c>
      <c r="S8" s="23" t="s">
        <v>56</v>
      </c>
      <c r="T8" s="23">
        <f t="shared" si="7"/>
        <v>0.91682539682539721</v>
      </c>
      <c r="U8" s="23">
        <f t="shared" si="1"/>
        <v>2.5714285714285759E-2</v>
      </c>
      <c r="V8" s="23">
        <f t="shared" si="1"/>
        <v>1.3828571428571426</v>
      </c>
    </row>
    <row r="9" spans="1:22" ht="18.75" x14ac:dyDescent="0.25">
      <c r="A9" s="16" t="s">
        <v>36</v>
      </c>
      <c r="B9" s="16" t="s">
        <v>44</v>
      </c>
      <c r="C9" s="16" t="str">
        <f t="shared" si="0"/>
        <v>SE</v>
      </c>
      <c r="G9" s="23" t="s">
        <v>57</v>
      </c>
      <c r="H9" s="23">
        <f>COUNTIF($C$4:$C$53,"ED")</f>
        <v>2</v>
      </c>
      <c r="I9" s="23">
        <f>COUNTIF($C$4:$C$53,"HD")</f>
        <v>1</v>
      </c>
      <c r="J9" s="23">
        <f>COUNTIF($C$4:$C$53,"SD")</f>
        <v>1</v>
      </c>
      <c r="K9" s="23">
        <f t="shared" si="2"/>
        <v>4</v>
      </c>
      <c r="M9" s="23" t="s">
        <v>57</v>
      </c>
      <c r="N9" s="23">
        <f t="shared" si="3"/>
        <v>1.44</v>
      </c>
      <c r="O9" s="23">
        <f t="shared" si="4"/>
        <v>1.28</v>
      </c>
      <c r="P9" s="23">
        <f t="shared" si="5"/>
        <v>1.28</v>
      </c>
      <c r="Q9" s="23">
        <f t="shared" si="6"/>
        <v>4</v>
      </c>
      <c r="S9" s="23" t="s">
        <v>57</v>
      </c>
      <c r="T9" s="23">
        <f t="shared" si="7"/>
        <v>0.21777777777777782</v>
      </c>
      <c r="U9" s="23">
        <f t="shared" si="1"/>
        <v>6.1250000000000006E-2</v>
      </c>
      <c r="V9" s="23">
        <f t="shared" si="1"/>
        <v>6.1250000000000006E-2</v>
      </c>
    </row>
    <row r="10" spans="1:22" ht="18.75" x14ac:dyDescent="0.25">
      <c r="A10" s="16" t="s">
        <v>36</v>
      </c>
      <c r="B10" s="16" t="s">
        <v>47</v>
      </c>
      <c r="C10" s="16" t="str">
        <f t="shared" si="0"/>
        <v>SA</v>
      </c>
      <c r="G10" s="23" t="s">
        <v>58</v>
      </c>
      <c r="H10" s="23">
        <f>COUNTIF($C$4:$C$53,"EE")</f>
        <v>2</v>
      </c>
      <c r="I10" s="23">
        <f>COUNTIF($C$4:$C$53,"HE")</f>
        <v>5</v>
      </c>
      <c r="J10" s="23">
        <f>COUNTIF($C$4:$C$53,"SE")</f>
        <v>4</v>
      </c>
      <c r="K10" s="23">
        <f t="shared" si="2"/>
        <v>11</v>
      </c>
      <c r="M10" s="23" t="s">
        <v>58</v>
      </c>
      <c r="N10" s="23">
        <f t="shared" si="3"/>
        <v>3.96</v>
      </c>
      <c r="O10" s="23">
        <f t="shared" si="4"/>
        <v>3.52</v>
      </c>
      <c r="P10" s="23">
        <f t="shared" si="5"/>
        <v>3.52</v>
      </c>
      <c r="Q10" s="23">
        <f t="shared" si="6"/>
        <v>11</v>
      </c>
      <c r="S10" s="23" t="s">
        <v>58</v>
      </c>
      <c r="T10" s="23">
        <f t="shared" si="7"/>
        <v>0.97010101010101002</v>
      </c>
      <c r="U10" s="23">
        <f t="shared" si="1"/>
        <v>0.6222727272727272</v>
      </c>
      <c r="V10" s="23">
        <f t="shared" si="1"/>
        <v>6.5454545454545446E-2</v>
      </c>
    </row>
    <row r="11" spans="1:22" ht="18.75" x14ac:dyDescent="0.25">
      <c r="A11" s="16" t="s">
        <v>41</v>
      </c>
      <c r="B11" s="16" t="s">
        <v>42</v>
      </c>
      <c r="C11" s="16" t="str">
        <f t="shared" si="0"/>
        <v>HO</v>
      </c>
      <c r="G11" s="23" t="s">
        <v>59</v>
      </c>
      <c r="H11" s="23">
        <f>COUNTIF($C$4:$C$53,"EO")</f>
        <v>2</v>
      </c>
      <c r="I11" s="23">
        <f>COUNTIF($C$4:$C$53,"HO")</f>
        <v>2</v>
      </c>
      <c r="J11" s="23">
        <f>COUNTIF($C$4:$C$53,"SO")</f>
        <v>3</v>
      </c>
      <c r="K11" s="23">
        <f t="shared" si="2"/>
        <v>7</v>
      </c>
      <c r="M11" s="23" t="s">
        <v>59</v>
      </c>
      <c r="N11" s="23">
        <f t="shared" si="3"/>
        <v>2.5200000000000005</v>
      </c>
      <c r="O11" s="23">
        <f t="shared" si="4"/>
        <v>2.2400000000000002</v>
      </c>
      <c r="P11" s="23">
        <f>(Q11/$Q$12)*$P$12</f>
        <v>2.2400000000000002</v>
      </c>
      <c r="Q11" s="23">
        <f t="shared" si="6"/>
        <v>7</v>
      </c>
      <c r="S11" s="23" t="s">
        <v>59</v>
      </c>
      <c r="T11" s="23">
        <f t="shared" si="7"/>
        <v>0.10730158730158747</v>
      </c>
      <c r="U11" s="23">
        <f t="shared" si="1"/>
        <v>2.5714285714285759E-2</v>
      </c>
      <c r="V11" s="23">
        <f t="shared" si="1"/>
        <v>0.25785714285714267</v>
      </c>
    </row>
    <row r="12" spans="1:22" ht="18.75" x14ac:dyDescent="0.25">
      <c r="A12" s="16" t="s">
        <v>44</v>
      </c>
      <c r="B12" s="16" t="s">
        <v>35</v>
      </c>
      <c r="C12" s="16" t="str">
        <f t="shared" si="0"/>
        <v>EF</v>
      </c>
      <c r="G12" s="24" t="s">
        <v>63</v>
      </c>
      <c r="H12" s="23">
        <f>SUM(H6:H11)</f>
        <v>18</v>
      </c>
      <c r="I12" s="23">
        <f t="shared" ref="I12:J12" si="8">SUM(I6:I11)</f>
        <v>16</v>
      </c>
      <c r="J12" s="23">
        <f t="shared" si="8"/>
        <v>16</v>
      </c>
      <c r="K12" s="23">
        <f>SUM(K6:K11,H12:J12)/2</f>
        <v>50</v>
      </c>
      <c r="M12" s="24" t="s">
        <v>63</v>
      </c>
      <c r="N12" s="23">
        <f>H12</f>
        <v>18</v>
      </c>
      <c r="O12" s="23">
        <f t="shared" ref="O12:P12" si="9">I12</f>
        <v>16</v>
      </c>
      <c r="P12" s="23">
        <f t="shared" si="9"/>
        <v>16</v>
      </c>
      <c r="Q12" s="23">
        <f>SUM(Q6:Q11,N12:P12)/2</f>
        <v>50</v>
      </c>
    </row>
    <row r="13" spans="1:22" ht="18.75" x14ac:dyDescent="0.25">
      <c r="A13" s="16" t="s">
        <v>36</v>
      </c>
      <c r="B13" s="16" t="s">
        <v>50</v>
      </c>
      <c r="C13" s="16" t="str">
        <f t="shared" si="0"/>
        <v>SP</v>
      </c>
      <c r="S13" s="27" t="s">
        <v>69</v>
      </c>
      <c r="T13" s="28"/>
      <c r="U13" s="29">
        <f>SUM(T6:V11)</f>
        <v>12.090147506814173</v>
      </c>
    </row>
    <row r="14" spans="1:22" ht="18.75" x14ac:dyDescent="0.25">
      <c r="A14" s="16" t="s">
        <v>44</v>
      </c>
      <c r="B14" s="16" t="s">
        <v>35</v>
      </c>
      <c r="C14" s="16" t="str">
        <f t="shared" si="0"/>
        <v>EF</v>
      </c>
      <c r="G14" s="23" t="s">
        <v>52</v>
      </c>
      <c r="H14" s="23" t="s">
        <v>60</v>
      </c>
      <c r="I14" s="23" t="s">
        <v>61</v>
      </c>
      <c r="J14" s="23" t="s">
        <v>62</v>
      </c>
      <c r="K14" s="23" t="s">
        <v>63</v>
      </c>
      <c r="N14" t="s">
        <v>66</v>
      </c>
    </row>
    <row r="15" spans="1:22" ht="18.75" x14ac:dyDescent="0.25">
      <c r="A15" s="16" t="s">
        <v>41</v>
      </c>
      <c r="B15" s="16" t="s">
        <v>47</v>
      </c>
      <c r="C15" s="16" t="str">
        <f t="shared" si="0"/>
        <v>HA</v>
      </c>
      <c r="G15" s="23" t="s">
        <v>54</v>
      </c>
      <c r="H15" s="23" t="str">
        <f>((H6/$K$12)*100)&amp;"%"</f>
        <v>14%</v>
      </c>
      <c r="I15" s="23" t="str">
        <f t="shared" ref="I15:K15" si="10">((I6/$K$12)*100)&amp;"%"</f>
        <v>2%</v>
      </c>
      <c r="J15" s="23" t="str">
        <f t="shared" si="10"/>
        <v>2%</v>
      </c>
      <c r="K15" s="23" t="str">
        <f t="shared" si="10"/>
        <v>18%</v>
      </c>
      <c r="M15" s="23" t="s">
        <v>52</v>
      </c>
      <c r="N15" s="23" t="s">
        <v>60</v>
      </c>
      <c r="O15" s="23" t="s">
        <v>61</v>
      </c>
      <c r="P15" s="23" t="s">
        <v>62</v>
      </c>
      <c r="Q15" s="25"/>
    </row>
    <row r="16" spans="1:22" ht="18.75" x14ac:dyDescent="0.25">
      <c r="A16" s="16" t="s">
        <v>36</v>
      </c>
      <c r="B16" s="16" t="s">
        <v>44</v>
      </c>
      <c r="C16" s="16" t="str">
        <f t="shared" si="0"/>
        <v>SE</v>
      </c>
      <c r="G16" s="23" t="s">
        <v>55</v>
      </c>
      <c r="H16" s="23" t="str">
        <f t="shared" ref="H16:K21" si="11">((H7/$K$12)*100)&amp;"%"</f>
        <v>8%</v>
      </c>
      <c r="I16" s="23" t="str">
        <f t="shared" si="11"/>
        <v>10%</v>
      </c>
      <c r="J16" s="23" t="str">
        <f t="shared" si="11"/>
        <v>6%</v>
      </c>
      <c r="K16" s="23" t="str">
        <f t="shared" si="11"/>
        <v>24%</v>
      </c>
      <c r="M16" s="23" t="s">
        <v>54</v>
      </c>
      <c r="N16" s="23">
        <f t="shared" ref="N16:N20" si="12">H6-N6</f>
        <v>3.7600000000000002</v>
      </c>
      <c r="O16" s="23">
        <f t="shared" ref="O16:O20" si="13">I6-O6</f>
        <v>-1.88</v>
      </c>
      <c r="P16" s="23">
        <f t="shared" ref="P16:P20" si="14">J6-P6</f>
        <v>-1.88</v>
      </c>
      <c r="Q16" s="25"/>
      <c r="S16" s="27" t="s">
        <v>68</v>
      </c>
      <c r="T16" s="28"/>
      <c r="U16" s="29">
        <f>SQRT(U13/(U13+Q12))</f>
        <v>0.44127005210942621</v>
      </c>
    </row>
    <row r="17" spans="1:17" ht="18.75" x14ac:dyDescent="0.25">
      <c r="A17" s="16" t="s">
        <v>41</v>
      </c>
      <c r="B17" s="16" t="s">
        <v>50</v>
      </c>
      <c r="C17" s="16" t="str">
        <f t="shared" si="0"/>
        <v>HP</v>
      </c>
      <c r="G17" s="23" t="s">
        <v>56</v>
      </c>
      <c r="H17" s="23" t="str">
        <f t="shared" si="11"/>
        <v>2%</v>
      </c>
      <c r="I17" s="23" t="str">
        <f t="shared" si="11"/>
        <v>4%</v>
      </c>
      <c r="J17" s="23" t="str">
        <f t="shared" si="11"/>
        <v>8%</v>
      </c>
      <c r="K17" s="23" t="str">
        <f t="shared" si="11"/>
        <v>14%</v>
      </c>
      <c r="M17" s="23" t="s">
        <v>55</v>
      </c>
      <c r="N17" s="23">
        <f t="shared" si="12"/>
        <v>-0.32000000000000028</v>
      </c>
      <c r="O17" s="23">
        <f t="shared" si="13"/>
        <v>1.1600000000000001</v>
      </c>
      <c r="P17" s="23">
        <f t="shared" si="14"/>
        <v>-0.83999999999999986</v>
      </c>
      <c r="Q17" s="25"/>
    </row>
    <row r="18" spans="1:17" ht="18.75" x14ac:dyDescent="0.25">
      <c r="A18" s="16" t="s">
        <v>44</v>
      </c>
      <c r="B18" s="16" t="s">
        <v>35</v>
      </c>
      <c r="C18" s="16" t="str">
        <f t="shared" si="0"/>
        <v>EF</v>
      </c>
      <c r="G18" s="23" t="s">
        <v>57</v>
      </c>
      <c r="H18" s="23" t="str">
        <f t="shared" si="11"/>
        <v>4%</v>
      </c>
      <c r="I18" s="23" t="str">
        <f t="shared" si="11"/>
        <v>2%</v>
      </c>
      <c r="J18" s="23" t="str">
        <f t="shared" si="11"/>
        <v>2%</v>
      </c>
      <c r="K18" s="23" t="str">
        <f t="shared" si="11"/>
        <v>8%</v>
      </c>
      <c r="M18" s="23" t="s">
        <v>56</v>
      </c>
      <c r="N18" s="23">
        <f t="shared" si="12"/>
        <v>-1.5200000000000005</v>
      </c>
      <c r="O18" s="23">
        <f t="shared" si="13"/>
        <v>-0.24000000000000021</v>
      </c>
      <c r="P18" s="23">
        <f t="shared" si="14"/>
        <v>1.7599999999999998</v>
      </c>
      <c r="Q18" s="25"/>
    </row>
    <row r="19" spans="1:17" ht="18.75" x14ac:dyDescent="0.25">
      <c r="A19" s="16" t="s">
        <v>36</v>
      </c>
      <c r="B19" s="16" t="s">
        <v>42</v>
      </c>
      <c r="C19" s="16" t="str">
        <f t="shared" si="0"/>
        <v>SO</v>
      </c>
      <c r="G19" s="23" t="s">
        <v>58</v>
      </c>
      <c r="H19" s="23" t="str">
        <f t="shared" si="11"/>
        <v>4%</v>
      </c>
      <c r="I19" s="23" t="str">
        <f t="shared" si="11"/>
        <v>10%</v>
      </c>
      <c r="J19" s="23" t="str">
        <f t="shared" si="11"/>
        <v>8%</v>
      </c>
      <c r="K19" s="23" t="str">
        <f t="shared" si="11"/>
        <v>22%</v>
      </c>
      <c r="M19" s="23" t="s">
        <v>57</v>
      </c>
      <c r="N19" s="23">
        <f t="shared" si="12"/>
        <v>0.56000000000000005</v>
      </c>
      <c r="O19" s="23">
        <f t="shared" si="13"/>
        <v>-0.28000000000000003</v>
      </c>
      <c r="P19" s="23">
        <f t="shared" si="14"/>
        <v>-0.28000000000000003</v>
      </c>
      <c r="Q19" s="25"/>
    </row>
    <row r="20" spans="1:17" ht="18.75" x14ac:dyDescent="0.25">
      <c r="A20" s="16" t="s">
        <v>44</v>
      </c>
      <c r="B20" s="16" t="s">
        <v>35</v>
      </c>
      <c r="C20" s="16" t="str">
        <f t="shared" si="0"/>
        <v>EF</v>
      </c>
      <c r="G20" s="23" t="s">
        <v>59</v>
      </c>
      <c r="H20" s="23" t="str">
        <f t="shared" si="11"/>
        <v>4%</v>
      </c>
      <c r="I20" s="23" t="str">
        <f t="shared" si="11"/>
        <v>4%</v>
      </c>
      <c r="J20" s="23" t="str">
        <f t="shared" si="11"/>
        <v>6%</v>
      </c>
      <c r="K20" s="23" t="str">
        <f t="shared" si="11"/>
        <v>14%</v>
      </c>
      <c r="M20" s="23" t="s">
        <v>58</v>
      </c>
      <c r="N20" s="23">
        <f t="shared" si="12"/>
        <v>-1.96</v>
      </c>
      <c r="O20" s="23">
        <f t="shared" si="13"/>
        <v>1.48</v>
      </c>
      <c r="P20" s="23">
        <f t="shared" si="14"/>
        <v>0.48</v>
      </c>
      <c r="Q20" s="25"/>
    </row>
    <row r="21" spans="1:17" ht="18.75" x14ac:dyDescent="0.25">
      <c r="A21" s="16" t="s">
        <v>44</v>
      </c>
      <c r="B21" s="16" t="s">
        <v>50</v>
      </c>
      <c r="C21" s="16" t="str">
        <f t="shared" si="0"/>
        <v>EP</v>
      </c>
      <c r="G21" s="24" t="s">
        <v>63</v>
      </c>
      <c r="H21" s="23" t="str">
        <f t="shared" si="11"/>
        <v>36%</v>
      </c>
      <c r="I21" s="23" t="str">
        <f t="shared" si="11"/>
        <v>32%</v>
      </c>
      <c r="J21" s="23" t="str">
        <f t="shared" si="11"/>
        <v>32%</v>
      </c>
      <c r="K21" s="23" t="str">
        <f t="shared" si="11"/>
        <v>100%</v>
      </c>
      <c r="M21" s="23" t="s">
        <v>59</v>
      </c>
      <c r="N21" s="23">
        <f t="shared" ref="N17:N22" si="15">H11-N11</f>
        <v>-0.52000000000000046</v>
      </c>
      <c r="O21" s="23">
        <f t="shared" ref="O21" si="16">I11-O11</f>
        <v>-0.24000000000000021</v>
      </c>
      <c r="P21" s="23">
        <f t="shared" ref="P21" si="17">J11-P11</f>
        <v>0.75999999999999979</v>
      </c>
      <c r="Q21" s="25"/>
    </row>
    <row r="22" spans="1:17" ht="18.75" x14ac:dyDescent="0.25">
      <c r="A22" s="16" t="s">
        <v>36</v>
      </c>
      <c r="B22" s="16" t="s">
        <v>47</v>
      </c>
      <c r="C22" s="16" t="str">
        <f t="shared" si="0"/>
        <v>SA</v>
      </c>
      <c r="M22" s="26"/>
      <c r="N22" s="25"/>
      <c r="O22" s="25"/>
      <c r="P22" s="25"/>
      <c r="Q22" s="25"/>
    </row>
    <row r="23" spans="1:17" ht="18.75" x14ac:dyDescent="0.25">
      <c r="A23" s="16" t="s">
        <v>44</v>
      </c>
      <c r="B23" s="16" t="s">
        <v>35</v>
      </c>
      <c r="C23" s="16" t="str">
        <f t="shared" si="0"/>
        <v>EF</v>
      </c>
      <c r="F23" s="25"/>
      <c r="G23" s="30"/>
      <c r="H23" s="30"/>
      <c r="I23" s="30"/>
      <c r="J23" s="30"/>
      <c r="K23" s="30"/>
      <c r="L23" s="30"/>
      <c r="M23" s="30"/>
      <c r="N23" s="30"/>
      <c r="O23" s="25"/>
    </row>
    <row r="24" spans="1:17" ht="18.75" x14ac:dyDescent="0.25">
      <c r="A24" s="16" t="s">
        <v>41</v>
      </c>
      <c r="B24" s="16" t="s">
        <v>50</v>
      </c>
      <c r="C24" s="16" t="str">
        <f t="shared" si="0"/>
        <v>HP</v>
      </c>
      <c r="F24" s="25"/>
      <c r="G24" s="30"/>
      <c r="H24" s="30"/>
      <c r="I24" s="30"/>
      <c r="J24" s="30"/>
      <c r="K24" s="30"/>
      <c r="L24" s="30"/>
      <c r="M24" s="30"/>
      <c r="N24" s="31"/>
      <c r="O24" s="25"/>
    </row>
    <row r="25" spans="1:17" ht="18.75" x14ac:dyDescent="0.25">
      <c r="A25" s="16" t="s">
        <v>36</v>
      </c>
      <c r="B25" s="16" t="s">
        <v>42</v>
      </c>
      <c r="C25" s="16" t="str">
        <f t="shared" si="0"/>
        <v>SO</v>
      </c>
      <c r="F25" s="25"/>
      <c r="G25" s="30"/>
      <c r="H25" s="30"/>
      <c r="I25" s="30"/>
      <c r="J25" s="30"/>
      <c r="K25" s="30"/>
      <c r="L25" s="30"/>
      <c r="M25" s="30"/>
      <c r="N25" s="31"/>
      <c r="O25" s="25"/>
    </row>
    <row r="26" spans="1:17" ht="18.75" x14ac:dyDescent="0.25">
      <c r="A26" s="16" t="s">
        <v>44</v>
      </c>
      <c r="B26" s="16" t="s">
        <v>50</v>
      </c>
      <c r="C26" s="16" t="str">
        <f t="shared" si="0"/>
        <v>EP</v>
      </c>
      <c r="F26" s="25"/>
      <c r="G26" s="30"/>
      <c r="H26" s="30"/>
      <c r="I26" s="30"/>
      <c r="J26" s="30"/>
      <c r="K26" s="30"/>
      <c r="L26" s="30"/>
      <c r="M26" s="30"/>
      <c r="N26" s="31"/>
      <c r="O26" s="25"/>
    </row>
    <row r="27" spans="1:17" ht="18.75" x14ac:dyDescent="0.25">
      <c r="A27" s="16" t="s">
        <v>41</v>
      </c>
      <c r="B27" s="16" t="s">
        <v>44</v>
      </c>
      <c r="C27" s="16" t="str">
        <f t="shared" si="0"/>
        <v>HE</v>
      </c>
      <c r="F27" s="25"/>
      <c r="G27" s="30"/>
      <c r="H27" s="31"/>
      <c r="I27" s="31"/>
      <c r="J27" s="31"/>
      <c r="K27" s="31"/>
      <c r="L27" s="31"/>
      <c r="M27" s="31"/>
      <c r="N27" s="32"/>
      <c r="O27" s="25"/>
    </row>
    <row r="28" spans="1:17" ht="18.75" x14ac:dyDescent="0.25">
      <c r="A28" s="16" t="s">
        <v>44</v>
      </c>
      <c r="B28" s="16" t="s">
        <v>47</v>
      </c>
      <c r="C28" s="16" t="str">
        <f t="shared" si="0"/>
        <v>EA</v>
      </c>
    </row>
    <row r="29" spans="1:17" ht="18.75" x14ac:dyDescent="0.25">
      <c r="A29" s="16" t="s">
        <v>36</v>
      </c>
      <c r="B29" s="16" t="s">
        <v>50</v>
      </c>
      <c r="C29" s="16" t="str">
        <f t="shared" si="0"/>
        <v>SP</v>
      </c>
    </row>
    <row r="30" spans="1:17" ht="18.75" x14ac:dyDescent="0.25">
      <c r="A30" s="16" t="s">
        <v>44</v>
      </c>
      <c r="B30" s="16" t="s">
        <v>44</v>
      </c>
      <c r="C30" s="16" t="str">
        <f t="shared" si="0"/>
        <v>EE</v>
      </c>
    </row>
    <row r="31" spans="1:17" ht="18.75" x14ac:dyDescent="0.25">
      <c r="A31" s="16" t="s">
        <v>41</v>
      </c>
      <c r="B31" s="16" t="s">
        <v>44</v>
      </c>
      <c r="C31" s="16" t="str">
        <f t="shared" si="0"/>
        <v>HE</v>
      </c>
    </row>
    <row r="32" spans="1:17" ht="18.75" x14ac:dyDescent="0.25">
      <c r="A32" s="16" t="s">
        <v>44</v>
      </c>
      <c r="B32" s="16" t="s">
        <v>35</v>
      </c>
      <c r="C32" s="16" t="str">
        <f t="shared" si="0"/>
        <v>EF</v>
      </c>
    </row>
    <row r="33" spans="1:3" ht="18.75" x14ac:dyDescent="0.25">
      <c r="A33" s="16" t="s">
        <v>41</v>
      </c>
      <c r="B33" s="16" t="s">
        <v>50</v>
      </c>
      <c r="C33" s="16" t="str">
        <f t="shared" si="0"/>
        <v>HP</v>
      </c>
    </row>
    <row r="34" spans="1:3" ht="18.75" x14ac:dyDescent="0.25">
      <c r="A34" s="16" t="s">
        <v>41</v>
      </c>
      <c r="B34" s="16" t="s">
        <v>44</v>
      </c>
      <c r="C34" s="16" t="str">
        <f t="shared" si="0"/>
        <v>HE</v>
      </c>
    </row>
    <row r="35" spans="1:3" ht="18.75" x14ac:dyDescent="0.25">
      <c r="A35" s="16" t="s">
        <v>36</v>
      </c>
      <c r="B35" s="16" t="s">
        <v>47</v>
      </c>
      <c r="C35" s="16" t="str">
        <f t="shared" si="0"/>
        <v>SA</v>
      </c>
    </row>
    <row r="36" spans="1:3" ht="18.75" x14ac:dyDescent="0.25">
      <c r="A36" s="16" t="s">
        <v>41</v>
      </c>
      <c r="B36" s="16" t="s">
        <v>47</v>
      </c>
      <c r="C36" s="16" t="str">
        <f t="shared" si="0"/>
        <v>HA</v>
      </c>
    </row>
    <row r="37" spans="1:3" ht="18.75" x14ac:dyDescent="0.25">
      <c r="A37" s="16" t="s">
        <v>44</v>
      </c>
      <c r="B37" s="16" t="s">
        <v>50</v>
      </c>
      <c r="C37" s="16" t="str">
        <f t="shared" si="0"/>
        <v>EP</v>
      </c>
    </row>
    <row r="38" spans="1:3" ht="18.75" x14ac:dyDescent="0.25">
      <c r="A38" s="16" t="s">
        <v>36</v>
      </c>
      <c r="B38" s="16" t="s">
        <v>47</v>
      </c>
      <c r="C38" s="16" t="str">
        <f t="shared" si="0"/>
        <v>SA</v>
      </c>
    </row>
    <row r="39" spans="1:3" ht="18.75" x14ac:dyDescent="0.25">
      <c r="A39" s="16" t="s">
        <v>44</v>
      </c>
      <c r="B39" s="16" t="s">
        <v>42</v>
      </c>
      <c r="C39" s="16" t="str">
        <f t="shared" si="0"/>
        <v>EO</v>
      </c>
    </row>
    <row r="40" spans="1:3" ht="18.75" x14ac:dyDescent="0.25">
      <c r="A40" s="16" t="s">
        <v>44</v>
      </c>
      <c r="B40" s="16" t="s">
        <v>38</v>
      </c>
      <c r="C40" s="16" t="str">
        <f t="shared" si="0"/>
        <v>ED</v>
      </c>
    </row>
    <row r="41" spans="1:3" ht="18.75" x14ac:dyDescent="0.25">
      <c r="A41" s="16" t="s">
        <v>41</v>
      </c>
      <c r="B41" s="16" t="s">
        <v>38</v>
      </c>
      <c r="C41" s="16" t="str">
        <f t="shared" si="0"/>
        <v>HD</v>
      </c>
    </row>
    <row r="42" spans="1:3" ht="18.75" x14ac:dyDescent="0.25">
      <c r="A42" s="16" t="s">
        <v>36</v>
      </c>
      <c r="B42" s="16" t="s">
        <v>44</v>
      </c>
      <c r="C42" s="16" t="str">
        <f t="shared" si="0"/>
        <v>SE</v>
      </c>
    </row>
    <row r="43" spans="1:3" ht="18.75" x14ac:dyDescent="0.25">
      <c r="A43" s="16" t="s">
        <v>44</v>
      </c>
      <c r="B43" s="16" t="s">
        <v>50</v>
      </c>
      <c r="C43" s="16" t="str">
        <f t="shared" si="0"/>
        <v>EP</v>
      </c>
    </row>
    <row r="44" spans="1:3" ht="18.75" x14ac:dyDescent="0.25">
      <c r="A44" s="16" t="s">
        <v>41</v>
      </c>
      <c r="B44" s="16" t="s">
        <v>44</v>
      </c>
      <c r="C44" s="16" t="str">
        <f t="shared" si="0"/>
        <v>HE</v>
      </c>
    </row>
    <row r="45" spans="1:3" ht="18.75" x14ac:dyDescent="0.25">
      <c r="A45" s="16" t="s">
        <v>36</v>
      </c>
      <c r="B45" s="16" t="s">
        <v>50</v>
      </c>
      <c r="C45" s="16" t="str">
        <f t="shared" si="0"/>
        <v>SP</v>
      </c>
    </row>
    <row r="46" spans="1:3" ht="18.75" x14ac:dyDescent="0.25">
      <c r="A46" s="16" t="s">
        <v>41</v>
      </c>
      <c r="B46" s="16" t="s">
        <v>35</v>
      </c>
      <c r="C46" s="16" t="str">
        <f t="shared" si="0"/>
        <v>HF</v>
      </c>
    </row>
    <row r="47" spans="1:3" ht="18.75" x14ac:dyDescent="0.25">
      <c r="A47" s="16" t="s">
        <v>44</v>
      </c>
      <c r="B47" s="16" t="s">
        <v>42</v>
      </c>
      <c r="C47" s="16" t="str">
        <f t="shared" si="0"/>
        <v>EO</v>
      </c>
    </row>
    <row r="48" spans="1:3" ht="18.75" x14ac:dyDescent="0.25">
      <c r="A48" s="16" t="s">
        <v>41</v>
      </c>
      <c r="B48" s="16" t="s">
        <v>44</v>
      </c>
      <c r="C48" s="16" t="str">
        <f t="shared" si="0"/>
        <v>HE</v>
      </c>
    </row>
    <row r="49" spans="1:3" ht="18.75" x14ac:dyDescent="0.25">
      <c r="A49" s="16" t="s">
        <v>41</v>
      </c>
      <c r="B49" s="16" t="s">
        <v>50</v>
      </c>
      <c r="C49" s="16" t="str">
        <f t="shared" si="0"/>
        <v>HP</v>
      </c>
    </row>
    <row r="50" spans="1:3" ht="18.75" x14ac:dyDescent="0.25">
      <c r="A50" s="16" t="s">
        <v>36</v>
      </c>
      <c r="B50" s="16" t="s">
        <v>42</v>
      </c>
      <c r="C50" s="16" t="str">
        <f t="shared" si="0"/>
        <v>SO</v>
      </c>
    </row>
    <row r="51" spans="1:3" ht="18.75" x14ac:dyDescent="0.25">
      <c r="A51" s="16" t="s">
        <v>44</v>
      </c>
      <c r="B51" s="16" t="s">
        <v>38</v>
      </c>
      <c r="C51" s="16" t="str">
        <f t="shared" si="0"/>
        <v>ED</v>
      </c>
    </row>
    <row r="52" spans="1:3" ht="18.75" x14ac:dyDescent="0.25">
      <c r="A52" s="16" t="s">
        <v>36</v>
      </c>
      <c r="B52" s="16" t="s">
        <v>44</v>
      </c>
      <c r="C52" s="16" t="str">
        <f t="shared" si="0"/>
        <v>SE</v>
      </c>
    </row>
    <row r="53" spans="1:3" ht="18.75" x14ac:dyDescent="0.25">
      <c r="A53" s="16" t="s">
        <v>41</v>
      </c>
      <c r="B53" s="16" t="s">
        <v>50</v>
      </c>
      <c r="C53" s="16" t="str">
        <f t="shared" si="0"/>
        <v>HP</v>
      </c>
    </row>
  </sheetData>
  <mergeCells count="2">
    <mergeCell ref="S13:T13"/>
    <mergeCell ref="S16:T16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CFB430ADC6184A90C5DC5D0D8CC417" ma:contentTypeVersion="4" ma:contentTypeDescription="Create a new document." ma:contentTypeScope="" ma:versionID="ca043314de55fa0eea5e5b4071864f79">
  <xsd:schema xmlns:xsd="http://www.w3.org/2001/XMLSchema" xmlns:xs="http://www.w3.org/2001/XMLSchema" xmlns:p="http://schemas.microsoft.com/office/2006/metadata/properties" xmlns:ns2="10b36d1b-5e74-421a-9430-7cc416b25d0d" targetNamespace="http://schemas.microsoft.com/office/2006/metadata/properties" ma:root="true" ma:fieldsID="a53286d21d9aea3e6e977d60760f30e6" ns2:_="">
    <xsd:import namespace="10b36d1b-5e74-421a-9430-7cc416b25d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36d1b-5e74-421a-9430-7cc416b25d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3FBC89-F662-4A35-A0F8-FA8DDA110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b36d1b-5e74-421a-9430-7cc416b25d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4D88FE-F7F9-4B5D-800F-EB59A2FFC2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DBCD46A-D4D1-4C05-949A-34CDDAE5A8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Tokio Hossokawa</dc:creator>
  <cp:keywords/>
  <dc:description/>
  <cp:lastModifiedBy>nilton dionisio guerra</cp:lastModifiedBy>
  <cp:revision/>
  <dcterms:created xsi:type="dcterms:W3CDTF">2023-08-22T18:02:45Z</dcterms:created>
  <dcterms:modified xsi:type="dcterms:W3CDTF">2023-09-21T14:21:43Z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0x010100D1CFB430ADC6184A90C5DC5D0D8CC417</vt:lpwstr>
  </property>
</Properties>
</file>