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2d489c442ae58ec3/Documentos/GitHub/faculdade/algebra linear/"/>
    </mc:Choice>
  </mc:AlternateContent>
  <xr:revisionPtr revIDLastSave="6363" documentId="11_5D3CD69CF9ED51A0DC82C34F28428CCBD9F5ED5F" xr6:coauthVersionLast="47" xr6:coauthVersionMax="47" xr10:uidLastSave="{B28E8058-756B-4C40-B0AB-53FEB10479F5}"/>
  <bookViews>
    <workbookView xWindow="20370" yWindow="-120" windowWidth="21840" windowHeight="13740" activeTab="2" xr2:uid="{00000000-000D-0000-FFFF-FFFF00000000}"/>
  </bookViews>
  <sheets>
    <sheet name="Questões 1" sheetId="1" r:id="rId1"/>
    <sheet name="Relatório de Respostas 1" sheetId="33" r:id="rId2"/>
    <sheet name="questões 2" sheetId="25" r:id="rId3"/>
  </sheets>
  <definedNames>
    <definedName name="solver_adj" localSheetId="0" hidden="1">'Questões 1'!$A$3:$B$3</definedName>
    <definedName name="solver_adj" localSheetId="2" hidden="1">'questões 2'!$A$4:$B$4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2</definedName>
    <definedName name="solver_eng" localSheetId="2" hidden="1">2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0" hidden="1">'Questões 1'!$I$4</definedName>
    <definedName name="solver_lhs1" localSheetId="2" hidden="1">'questões 2'!$A$4</definedName>
    <definedName name="solver_lhs2" localSheetId="0" hidden="1">'Questões 1'!$I$5</definedName>
    <definedName name="solver_lhs2" localSheetId="2" hidden="1">'questões 2'!$B$4</definedName>
    <definedName name="solver_lhs3" localSheetId="0" hidden="1">'Questões 1'!$I$6</definedName>
    <definedName name="solver_lhs3" localSheetId="2" hidden="1">'questões 2'!$I$4</definedName>
    <definedName name="solver_lhs4" localSheetId="0" hidden="1">'Questões 1'!$I$7</definedName>
    <definedName name="solver_lhs4" localSheetId="2" hidden="1">'questões 2'!$I$5</definedName>
    <definedName name="solver_lhs5" localSheetId="0" hidden="1">'Questões 1'!$I$8</definedName>
    <definedName name="solver_lhs5" localSheetId="2" hidden="1">'questões 2'!$I$6</definedName>
    <definedName name="solver_lhs6" localSheetId="2" hidden="1">'questões 2'!$I$7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5</definedName>
    <definedName name="solver_num" localSheetId="2" hidden="1">6</definedName>
    <definedName name="solver_nwt" localSheetId="0" hidden="1">1</definedName>
    <definedName name="solver_nwt" localSheetId="2" hidden="1">1</definedName>
    <definedName name="solver_opt" localSheetId="0" hidden="1">'Questões 1'!$D$2</definedName>
    <definedName name="solver_opt" localSheetId="2" hidden="1">'questões 2'!$C$3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el1" localSheetId="0" hidden="1">1</definedName>
    <definedName name="solver_rel1" localSheetId="2" hidden="1">4</definedName>
    <definedName name="solver_rel2" localSheetId="0" hidden="1">3</definedName>
    <definedName name="solver_rel2" localSheetId="2" hidden="1">4</definedName>
    <definedName name="solver_rel3" localSheetId="0" hidden="1">3</definedName>
    <definedName name="solver_rel3" localSheetId="2" hidden="1">3</definedName>
    <definedName name="solver_rel4" localSheetId="0" hidden="1">3</definedName>
    <definedName name="solver_rel4" localSheetId="2" hidden="1">3</definedName>
    <definedName name="solver_rel5" localSheetId="0" hidden="1">3</definedName>
    <definedName name="solver_rel5" localSheetId="2" hidden="1">3</definedName>
    <definedName name="solver_rel6" localSheetId="2" hidden="1">3</definedName>
    <definedName name="solver_rhs1" localSheetId="0" hidden="1">'Questões 1'!$K$4</definedName>
    <definedName name="solver_rhs1" localSheetId="2" hidden="1">"número inteiro"</definedName>
    <definedName name="solver_rhs2" localSheetId="0" hidden="1">'Questões 1'!$K$5</definedName>
    <definedName name="solver_rhs2" localSheetId="2" hidden="1">"número inteiro"</definedName>
    <definedName name="solver_rhs3" localSheetId="0" hidden="1">'Questões 1'!$K$6</definedName>
    <definedName name="solver_rhs3" localSheetId="2" hidden="1">'questões 2'!$K$4</definedName>
    <definedName name="solver_rhs4" localSheetId="0" hidden="1">'Questões 1'!$K$7</definedName>
    <definedName name="solver_rhs4" localSheetId="2" hidden="1">'questões 2'!$K$5</definedName>
    <definedName name="solver_rhs5" localSheetId="0" hidden="1">'Questões 1'!$K$8</definedName>
    <definedName name="solver_rhs5" localSheetId="2" hidden="1">'questões 2'!$K$6</definedName>
    <definedName name="solver_rhs6" localSheetId="2" hidden="1">'questões 2'!$K$7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1</definedName>
    <definedName name="solver_typ" localSheetId="2" hidden="1">2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5" l="1"/>
  <c r="I5" i="25"/>
  <c r="I7" i="25"/>
  <c r="I8" i="25"/>
  <c r="I9" i="25"/>
  <c r="I6" i="25"/>
  <c r="C3" i="25" l="1"/>
  <c r="I4" i="1"/>
  <c r="I7" i="1"/>
  <c r="I6" i="1"/>
  <c r="I5" i="1"/>
  <c r="D2" i="1"/>
  <c r="I8" i="1"/>
</calcChain>
</file>

<file path=xl/sharedStrings.xml><?xml version="1.0" encoding="utf-8"?>
<sst xmlns="http://schemas.openxmlformats.org/spreadsheetml/2006/main" count="85" uniqueCount="54">
  <si>
    <t>x</t>
  </si>
  <si>
    <t>y</t>
  </si>
  <si>
    <t>função objetivo</t>
  </si>
  <si>
    <t>R1</t>
  </si>
  <si>
    <t>R2</t>
  </si>
  <si>
    <t>PREÇO</t>
  </si>
  <si>
    <t>X</t>
  </si>
  <si>
    <t>Y</t>
  </si>
  <si>
    <t>&lt;=</t>
  </si>
  <si>
    <t>Microsoft Excel 16.0 Relatório de Respostas</t>
  </si>
  <si>
    <t>Resultado: O Solver encontrou uma solução.  Todas as Restrições e condições de adequação foram satisfeitas.</t>
  </si>
  <si>
    <t>Mecanismo do Solver</t>
  </si>
  <si>
    <t>Mecanismo: LP Simplex</t>
  </si>
  <si>
    <t>Opções do Solver</t>
  </si>
  <si>
    <t>Tempo Máx. Ilimitado,  Iterações Ilimitado, Precision 0,000001, Usar Escala Automática</t>
  </si>
  <si>
    <t>Subproblemas Máx. Ilimitado, Soluç. Máx. Núm. Inteiro Ilimitado, Tolerância de Número Inteiro 1%, Assumir Não Negativo</t>
  </si>
  <si>
    <t>Célula</t>
  </si>
  <si>
    <t>Nome</t>
  </si>
  <si>
    <t>Valor Original</t>
  </si>
  <si>
    <t>Valor Final</t>
  </si>
  <si>
    <t>Células Variáveis</t>
  </si>
  <si>
    <t>Número Inteiro</t>
  </si>
  <si>
    <t>Restrições</t>
  </si>
  <si>
    <t>Valor da Célula</t>
  </si>
  <si>
    <t>Fórmula</t>
  </si>
  <si>
    <t>Status</t>
  </si>
  <si>
    <t>Margem de Atraso</t>
  </si>
  <si>
    <t>$I$4</t>
  </si>
  <si>
    <t>Associação</t>
  </si>
  <si>
    <t>$I$5</t>
  </si>
  <si>
    <t>Não-associação</t>
  </si>
  <si>
    <t>Preço</t>
  </si>
  <si>
    <t>R3</t>
  </si>
  <si>
    <t>R4</t>
  </si>
  <si>
    <t>&gt;=</t>
  </si>
  <si>
    <t>$I$6</t>
  </si>
  <si>
    <t>R5</t>
  </si>
  <si>
    <t>Planilha: [MATEMATICA.xlsx]questões 2</t>
  </si>
  <si>
    <t>$C$3</t>
  </si>
  <si>
    <t>$A$4</t>
  </si>
  <si>
    <t>$B$4</t>
  </si>
  <si>
    <t>$A$4=Número Inteiro</t>
  </si>
  <si>
    <t>$B$4=Número Inteiro</t>
  </si>
  <si>
    <t>Tempo da Solução: 0,047 Segundos.</t>
  </si>
  <si>
    <t>Alimento A</t>
  </si>
  <si>
    <t>Alimento B</t>
  </si>
  <si>
    <t>Relatório Criado: 07/05/2023 11:47:47</t>
  </si>
  <si>
    <t>Iterações: 5 Subproblemas: 0</t>
  </si>
  <si>
    <t>Célula do Objetivo (Mín.)</t>
  </si>
  <si>
    <t>$I$4&gt;=$K$4</t>
  </si>
  <si>
    <t>$I$5&gt;=$K$5</t>
  </si>
  <si>
    <t>$I$6&gt;=$K$6</t>
  </si>
  <si>
    <t>$I$7</t>
  </si>
  <si>
    <t>$I$7&gt;=$K$7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</si>
</sst>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0" fillId="3" borderId="5" xfId="0" applyFill="1" applyBorder="1"/>
    <xf numFmtId="0" fontId="0" fillId="0" borderId="6" xfId="0" applyBorder="1" applyAlignment="1">
      <alignment horizontal="center"/>
    </xf>
    <xf numFmtId="0" fontId="0" fillId="0" borderId="3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3" xfId="0" applyNumberFormat="1" applyFill="1" applyBorder="1" applyAlignment="1"/>
    <xf numFmtId="0" fontId="0" fillId="0" borderId="4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>
      <selection activeCell="G16" sqref="G16"/>
    </sheetView>
  </sheetViews>
  <sheetFormatPr defaultRowHeight="15" x14ac:dyDescent="0.25"/>
  <cols>
    <col min="2" max="2" width="7.28515625" customWidth="1"/>
    <col min="3" max="3" width="6.85546875" bestFit="1" customWidth="1"/>
    <col min="4" max="4" width="15" bestFit="1" customWidth="1"/>
    <col min="6" max="6" width="3.140625" bestFit="1" customWidth="1"/>
    <col min="7" max="7" width="8.7109375" customWidth="1"/>
    <col min="8" max="8" width="8.85546875" bestFit="1" customWidth="1"/>
    <col min="9" max="9" width="12.85546875" customWidth="1"/>
    <col min="10" max="10" width="3" bestFit="1" customWidth="1"/>
  </cols>
  <sheetData>
    <row r="1" spans="1:11" x14ac:dyDescent="0.25">
      <c r="A1" s="1" t="s">
        <v>0</v>
      </c>
      <c r="B1" s="1" t="s">
        <v>1</v>
      </c>
      <c r="D1" s="3" t="s">
        <v>2</v>
      </c>
    </row>
    <row r="2" spans="1:11" x14ac:dyDescent="0.25">
      <c r="A2" s="1">
        <v>2</v>
      </c>
      <c r="B2" s="1">
        <v>1</v>
      </c>
      <c r="C2" t="s">
        <v>5</v>
      </c>
      <c r="D2" s="3">
        <f>(A2*A3)+(B2*B3)</f>
        <v>13</v>
      </c>
    </row>
    <row r="3" spans="1:11" x14ac:dyDescent="0.25">
      <c r="A3" s="2">
        <v>6</v>
      </c>
      <c r="B3" s="2">
        <v>1</v>
      </c>
      <c r="G3" s="1" t="s">
        <v>6</v>
      </c>
      <c r="H3" s="1" t="s">
        <v>7</v>
      </c>
    </row>
    <row r="4" spans="1:11" x14ac:dyDescent="0.25">
      <c r="F4" s="1" t="s">
        <v>3</v>
      </c>
      <c r="G4" s="1">
        <v>1</v>
      </c>
      <c r="H4" s="1">
        <v>1</v>
      </c>
      <c r="I4" s="3">
        <f>G4*$A$3+H4*$B$3</f>
        <v>7</v>
      </c>
      <c r="J4" s="1" t="s">
        <v>8</v>
      </c>
      <c r="K4" s="1">
        <v>7</v>
      </c>
    </row>
    <row r="5" spans="1:11" x14ac:dyDescent="0.25">
      <c r="F5" s="1" t="s">
        <v>4</v>
      </c>
      <c r="G5" s="1">
        <v>3</v>
      </c>
      <c r="H5" s="1">
        <v>2</v>
      </c>
      <c r="I5" s="3">
        <f>G5*$A$3+H5*$B$3</f>
        <v>20</v>
      </c>
      <c r="J5" s="1" t="s">
        <v>34</v>
      </c>
      <c r="K5" s="1">
        <v>12</v>
      </c>
    </row>
    <row r="6" spans="1:11" x14ac:dyDescent="0.25">
      <c r="F6" s="1" t="s">
        <v>32</v>
      </c>
      <c r="G6" s="1">
        <v>1</v>
      </c>
      <c r="H6" s="1"/>
      <c r="I6" s="3">
        <f>G6*$A$3+H6*$B$3</f>
        <v>6</v>
      </c>
      <c r="J6" s="1" t="s">
        <v>34</v>
      </c>
      <c r="K6" s="1">
        <v>2</v>
      </c>
    </row>
    <row r="7" spans="1:11" x14ac:dyDescent="0.25">
      <c r="F7" s="1" t="s">
        <v>33</v>
      </c>
      <c r="G7" s="1"/>
      <c r="H7" s="1">
        <v>1</v>
      </c>
      <c r="I7" s="3">
        <f>G7*$A$3+H7*$B$3</f>
        <v>1</v>
      </c>
      <c r="J7" s="1" t="s">
        <v>34</v>
      </c>
      <c r="K7" s="1">
        <v>1</v>
      </c>
    </row>
    <row r="8" spans="1:11" x14ac:dyDescent="0.25">
      <c r="F8" s="1" t="s">
        <v>36</v>
      </c>
      <c r="G8" s="1">
        <v>1</v>
      </c>
      <c r="H8" s="1"/>
      <c r="I8" s="3">
        <f>G8*$A$3+H8*$B$3</f>
        <v>6</v>
      </c>
      <c r="J8" s="1" t="s">
        <v>34</v>
      </c>
      <c r="K8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1524-E566-4228-86AF-F3C107267C7E}">
  <dimension ref="A1:G32"/>
  <sheetViews>
    <sheetView showGridLines="0" workbookViewId="0"/>
  </sheetViews>
  <sheetFormatPr defaultRowHeight="15" x14ac:dyDescent="0.25"/>
  <cols>
    <col min="1" max="1" width="2.28515625" customWidth="1"/>
    <col min="2" max="2" width="20.28515625" bestFit="1" customWidth="1"/>
    <col min="3" max="3" width="15" bestFit="1" customWidth="1"/>
    <col min="4" max="4" width="14.42578125" bestFit="1" customWidth="1"/>
    <col min="5" max="5" width="10.7109375" bestFit="1" customWidth="1"/>
    <col min="6" max="6" width="14.85546875" bestFit="1" customWidth="1"/>
    <col min="7" max="7" width="17.5703125" bestFit="1" customWidth="1"/>
  </cols>
  <sheetData>
    <row r="1" spans="1:5" x14ac:dyDescent="0.25">
      <c r="A1" s="4" t="s">
        <v>9</v>
      </c>
    </row>
    <row r="2" spans="1:5" x14ac:dyDescent="0.25">
      <c r="A2" s="4" t="s">
        <v>37</v>
      </c>
    </row>
    <row r="3" spans="1:5" x14ac:dyDescent="0.25">
      <c r="A3" s="4" t="s">
        <v>46</v>
      </c>
    </row>
    <row r="4" spans="1:5" x14ac:dyDescent="0.25">
      <c r="A4" s="4" t="s">
        <v>10</v>
      </c>
    </row>
    <row r="5" spans="1:5" x14ac:dyDescent="0.25">
      <c r="A5" s="4" t="s">
        <v>11</v>
      </c>
    </row>
    <row r="6" spans="1:5" x14ac:dyDescent="0.25">
      <c r="A6" s="4"/>
      <c r="B6" t="s">
        <v>12</v>
      </c>
    </row>
    <row r="7" spans="1:5" x14ac:dyDescent="0.25">
      <c r="A7" s="4"/>
      <c r="B7" t="s">
        <v>43</v>
      </c>
    </row>
    <row r="8" spans="1:5" x14ac:dyDescent="0.25">
      <c r="A8" s="4"/>
      <c r="B8" t="s">
        <v>47</v>
      </c>
    </row>
    <row r="9" spans="1:5" x14ac:dyDescent="0.25">
      <c r="A9" s="4" t="s">
        <v>13</v>
      </c>
    </row>
    <row r="10" spans="1:5" x14ac:dyDescent="0.25">
      <c r="B10" t="s">
        <v>14</v>
      </c>
    </row>
    <row r="11" spans="1:5" x14ac:dyDescent="0.25">
      <c r="B11" t="s">
        <v>15</v>
      </c>
    </row>
    <row r="14" spans="1:5" ht="15.75" thickBot="1" x14ac:dyDescent="0.3">
      <c r="A14" t="s">
        <v>48</v>
      </c>
    </row>
    <row r="15" spans="1:5" ht="15.75" thickBot="1" x14ac:dyDescent="0.3">
      <c r="B15" s="8" t="s">
        <v>16</v>
      </c>
      <c r="C15" s="8" t="s">
        <v>17</v>
      </c>
      <c r="D15" s="8" t="s">
        <v>18</v>
      </c>
      <c r="E15" s="8" t="s">
        <v>19</v>
      </c>
    </row>
    <row r="16" spans="1:5" ht="15.75" thickBot="1" x14ac:dyDescent="0.3">
      <c r="B16" s="7" t="s">
        <v>38</v>
      </c>
      <c r="C16" s="7" t="s">
        <v>2</v>
      </c>
      <c r="D16" s="10">
        <v>0</v>
      </c>
      <c r="E16" s="10">
        <v>608</v>
      </c>
    </row>
    <row r="19" spans="1:7" ht="15.75" thickBot="1" x14ac:dyDescent="0.3">
      <c r="A19" t="s">
        <v>20</v>
      </c>
    </row>
    <row r="20" spans="1:7" ht="15.75" thickBot="1" x14ac:dyDescent="0.3">
      <c r="B20" s="8" t="s">
        <v>16</v>
      </c>
      <c r="C20" s="8" t="s">
        <v>17</v>
      </c>
      <c r="D20" s="8" t="s">
        <v>18</v>
      </c>
      <c r="E20" s="8" t="s">
        <v>19</v>
      </c>
      <c r="F20" s="8" t="s">
        <v>21</v>
      </c>
    </row>
    <row r="21" spans="1:7" x14ac:dyDescent="0.25">
      <c r="B21" s="9" t="s">
        <v>39</v>
      </c>
      <c r="C21" s="9" t="s">
        <v>44</v>
      </c>
      <c r="D21" s="11">
        <v>0</v>
      </c>
      <c r="E21" s="11">
        <v>4</v>
      </c>
      <c r="F21" s="9" t="s">
        <v>21</v>
      </c>
    </row>
    <row r="22" spans="1:7" ht="15.75" thickBot="1" x14ac:dyDescent="0.3">
      <c r="B22" s="7" t="s">
        <v>40</v>
      </c>
      <c r="C22" s="7" t="s">
        <v>45</v>
      </c>
      <c r="D22" s="10">
        <v>0</v>
      </c>
      <c r="E22" s="10">
        <v>9</v>
      </c>
      <c r="F22" s="7" t="s">
        <v>21</v>
      </c>
    </row>
    <row r="25" spans="1:7" ht="15.75" thickBot="1" x14ac:dyDescent="0.3">
      <c r="A25" t="s">
        <v>22</v>
      </c>
    </row>
    <row r="26" spans="1:7" ht="15.75" thickBot="1" x14ac:dyDescent="0.3">
      <c r="B26" s="8" t="s">
        <v>16</v>
      </c>
      <c r="C26" s="8" t="s">
        <v>17</v>
      </c>
      <c r="D26" s="8" t="s">
        <v>23</v>
      </c>
      <c r="E26" s="8" t="s">
        <v>24</v>
      </c>
      <c r="F26" s="8" t="s">
        <v>25</v>
      </c>
      <c r="G26" s="8" t="s">
        <v>26</v>
      </c>
    </row>
    <row r="27" spans="1:7" x14ac:dyDescent="0.25">
      <c r="B27" s="9" t="s">
        <v>27</v>
      </c>
      <c r="C27" s="9" t="s">
        <v>3</v>
      </c>
      <c r="D27" s="11">
        <v>400</v>
      </c>
      <c r="E27" s="9" t="s">
        <v>49</v>
      </c>
      <c r="F27" s="9" t="s">
        <v>28</v>
      </c>
      <c r="G27" s="11">
        <v>0</v>
      </c>
    </row>
    <row r="28" spans="1:7" x14ac:dyDescent="0.25">
      <c r="B28" s="9" t="s">
        <v>29</v>
      </c>
      <c r="C28" s="9" t="s">
        <v>4</v>
      </c>
      <c r="D28" s="11">
        <v>900</v>
      </c>
      <c r="E28" s="9" t="s">
        <v>50</v>
      </c>
      <c r="F28" s="9" t="s">
        <v>30</v>
      </c>
      <c r="G28" s="11">
        <v>300</v>
      </c>
    </row>
    <row r="29" spans="1:7" x14ac:dyDescent="0.25">
      <c r="B29" s="9" t="s">
        <v>35</v>
      </c>
      <c r="C29" s="9" t="s">
        <v>32</v>
      </c>
      <c r="D29" s="11">
        <v>2200</v>
      </c>
      <c r="E29" s="9" t="s">
        <v>51</v>
      </c>
      <c r="F29" s="9" t="s">
        <v>30</v>
      </c>
      <c r="G29" s="11">
        <v>200</v>
      </c>
    </row>
    <row r="30" spans="1:7" x14ac:dyDescent="0.25">
      <c r="B30" s="9" t="s">
        <v>52</v>
      </c>
      <c r="C30" s="9" t="s">
        <v>33</v>
      </c>
      <c r="D30" s="11">
        <v>1700</v>
      </c>
      <c r="E30" s="9" t="s">
        <v>53</v>
      </c>
      <c r="F30" s="9" t="s">
        <v>28</v>
      </c>
      <c r="G30" s="11">
        <v>0</v>
      </c>
    </row>
    <row r="31" spans="1:7" x14ac:dyDescent="0.25">
      <c r="B31" s="9" t="s">
        <v>41</v>
      </c>
      <c r="C31" s="9"/>
      <c r="D31" s="9"/>
      <c r="E31" s="9"/>
      <c r="F31" s="9"/>
      <c r="G31" s="9"/>
    </row>
    <row r="32" spans="1:7" ht="15.75" thickBot="1" x14ac:dyDescent="0.3">
      <c r="B32" s="7" t="s">
        <v>42</v>
      </c>
      <c r="C32" s="7"/>
      <c r="D32" s="7"/>
      <c r="E32" s="7"/>
      <c r="F32" s="7"/>
      <c r="G32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B73F-77E5-474E-92C1-66201792FFFC}">
  <dimension ref="A1:K9"/>
  <sheetViews>
    <sheetView tabSelected="1" workbookViewId="0">
      <selection activeCell="N5" sqref="N5"/>
    </sheetView>
  </sheetViews>
  <sheetFormatPr defaultRowHeight="15" x14ac:dyDescent="0.25"/>
  <cols>
    <col min="1" max="2" width="18.28515625" bestFit="1" customWidth="1"/>
    <col min="3" max="4" width="15" bestFit="1" customWidth="1"/>
    <col min="9" max="9" width="12" bestFit="1" customWidth="1"/>
    <col min="15" max="15" width="17.7109375" customWidth="1"/>
  </cols>
  <sheetData>
    <row r="1" spans="1:11" x14ac:dyDescent="0.25">
      <c r="A1" s="6" t="s">
        <v>31</v>
      </c>
      <c r="B1" s="6"/>
    </row>
    <row r="2" spans="1:11" x14ac:dyDescent="0.25">
      <c r="A2" s="1" t="s">
        <v>44</v>
      </c>
      <c r="B2" s="1" t="s">
        <v>45</v>
      </c>
      <c r="C2" s="3" t="s">
        <v>2</v>
      </c>
    </row>
    <row r="3" spans="1:11" x14ac:dyDescent="0.25">
      <c r="A3" s="1">
        <v>80</v>
      </c>
      <c r="B3" s="1">
        <v>32</v>
      </c>
      <c r="C3" s="3">
        <f>(A3*A4)+(B3*B4)</f>
        <v>608</v>
      </c>
      <c r="F3" s="1" t="s">
        <v>6</v>
      </c>
      <c r="G3" s="1" t="s">
        <v>7</v>
      </c>
      <c r="H3" s="1"/>
    </row>
    <row r="4" spans="1:11" x14ac:dyDescent="0.25">
      <c r="A4" s="2">
        <v>4</v>
      </c>
      <c r="B4" s="2">
        <v>9</v>
      </c>
      <c r="E4" s="1" t="s">
        <v>3</v>
      </c>
      <c r="F4" s="1">
        <v>100</v>
      </c>
      <c r="G4" s="1">
        <v>0</v>
      </c>
      <c r="H4" s="1"/>
      <c r="I4" s="5">
        <f t="shared" ref="I4:I6" si="0">F4*$A$4+G4*$B$4</f>
        <v>400</v>
      </c>
      <c r="J4" s="1" t="s">
        <v>34</v>
      </c>
      <c r="K4" s="1">
        <v>400</v>
      </c>
    </row>
    <row r="5" spans="1:11" x14ac:dyDescent="0.25">
      <c r="E5" s="1" t="s">
        <v>4</v>
      </c>
      <c r="F5" s="1">
        <v>0</v>
      </c>
      <c r="G5" s="1">
        <v>100</v>
      </c>
      <c r="H5" s="1"/>
      <c r="I5" s="5">
        <f t="shared" si="0"/>
        <v>900</v>
      </c>
      <c r="J5" s="1" t="s">
        <v>34</v>
      </c>
      <c r="K5" s="1">
        <v>600</v>
      </c>
    </row>
    <row r="6" spans="1:11" x14ac:dyDescent="0.25">
      <c r="E6" s="1" t="s">
        <v>32</v>
      </c>
      <c r="F6" s="1">
        <v>100</v>
      </c>
      <c r="G6" s="1">
        <v>200</v>
      </c>
      <c r="H6" s="1"/>
      <c r="I6" s="5">
        <f>F6*$A$4+G6*$B$4</f>
        <v>2200</v>
      </c>
      <c r="J6" s="1" t="s">
        <v>34</v>
      </c>
      <c r="K6" s="1">
        <v>2000</v>
      </c>
    </row>
    <row r="7" spans="1:11" x14ac:dyDescent="0.25">
      <c r="E7" s="1" t="s">
        <v>33</v>
      </c>
      <c r="F7" s="1">
        <v>200</v>
      </c>
      <c r="G7" s="1">
        <v>100</v>
      </c>
      <c r="H7" s="1"/>
      <c r="I7" s="5">
        <f t="shared" ref="I7:I9" si="1">F7*$A$4+G7*$B$4</f>
        <v>1700</v>
      </c>
      <c r="J7" s="1" t="s">
        <v>34</v>
      </c>
      <c r="K7" s="1">
        <v>1700</v>
      </c>
    </row>
    <row r="8" spans="1:11" x14ac:dyDescent="0.25">
      <c r="E8" s="1"/>
      <c r="F8" s="1"/>
      <c r="G8" s="1"/>
      <c r="H8" s="1"/>
      <c r="I8" s="5">
        <f t="shared" si="1"/>
        <v>0</v>
      </c>
      <c r="J8" s="1"/>
      <c r="K8" s="1"/>
    </row>
    <row r="9" spans="1:11" x14ac:dyDescent="0.25">
      <c r="E9" s="1"/>
      <c r="F9" s="1"/>
      <c r="G9" s="1"/>
      <c r="H9" s="1"/>
      <c r="I9" s="5">
        <f t="shared" si="1"/>
        <v>0</v>
      </c>
      <c r="J9" s="1"/>
      <c r="K9" s="1"/>
    </row>
  </sheetData>
  <mergeCells count="1">
    <mergeCell ref="A1:B1"/>
  </mergeCells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Questões 1</vt:lpstr>
      <vt:lpstr>Relatório de Respostas 1</vt:lpstr>
      <vt:lpstr>questões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Laboratorios - W7 - Fatec Mauá</dc:creator>
  <cp:lastModifiedBy>nilton dionisio guerra</cp:lastModifiedBy>
  <dcterms:created xsi:type="dcterms:W3CDTF">2023-05-03T22:42:56Z</dcterms:created>
  <dcterms:modified xsi:type="dcterms:W3CDTF">2023-05-07T14:47:56Z</dcterms:modified>
</cp:coreProperties>
</file>