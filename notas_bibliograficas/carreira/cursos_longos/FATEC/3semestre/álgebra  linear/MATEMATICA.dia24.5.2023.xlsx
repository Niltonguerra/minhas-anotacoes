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fatecspgov-my.sharepoint.com/personal/nilton_guerra_fatec_sp_gov_br/Documents/3semestre/álgebra  linear/"/>
    </mc:Choice>
  </mc:AlternateContent>
  <xr:revisionPtr revIDLastSave="91" documentId="11_EE216AC93EC3D266BCB03F9491A0B188BD3FBE82" xr6:coauthVersionLast="47" xr6:coauthVersionMax="47" xr10:uidLastSave="{EEFE6773-0FA1-427C-80E0-822042EF0316}"/>
  <bookViews>
    <workbookView xWindow="21480" yWindow="1830" windowWidth="20730" windowHeight="11040" activeTab="3" xr2:uid="{00000000-000D-0000-FFFF-FFFF00000000}"/>
  </bookViews>
  <sheets>
    <sheet name="Planilha1" sheetId="1" r:id="rId1"/>
    <sheet name="Planilha2" sheetId="5" r:id="rId2"/>
    <sheet name="Planilha3" sheetId="6" r:id="rId3"/>
    <sheet name="Planilha4" sheetId="7" r:id="rId4"/>
    <sheet name="Planilha5" sheetId="8" r:id="rId5"/>
    <sheet name="Planilha6" sheetId="9" r:id="rId6"/>
    <sheet name="Planilha7" sheetId="10" r:id="rId7"/>
  </sheets>
  <definedNames>
    <definedName name="solver_adj" localSheetId="0" hidden="1">Planilha1!$A$3:$B$3</definedName>
    <definedName name="solver_adj" localSheetId="1" hidden="1">Planilha2!$B$33:$C$35</definedName>
    <definedName name="solver_adj" localSheetId="2" hidden="1">Planilha3!$B$10:$D$12</definedName>
    <definedName name="solver_adj" localSheetId="3" hidden="1">Planilha4!$B$11:$E$14</definedName>
    <definedName name="solver_adj" localSheetId="4" hidden="1">Planilha5!$B$14:$E$18</definedName>
    <definedName name="solver_adj" localSheetId="5" hidden="1">Planilha6!$B$12:$D$14</definedName>
    <definedName name="solver_adj" localSheetId="6" hidden="1">Planilha7!$B$9:$E$12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lhs1" localSheetId="0" hidden="1">Planilha1!$I$4</definedName>
    <definedName name="solver_lhs1" localSheetId="1" hidden="1">Planilha2!$B$36:$C$36</definedName>
    <definedName name="solver_lhs1" localSheetId="2" hidden="1">Planilha3!$B$13:$D$13</definedName>
    <definedName name="solver_lhs1" localSheetId="3" hidden="1">Planilha4!$B$15:$E$15</definedName>
    <definedName name="solver_lhs1" localSheetId="4" hidden="1">Planilha5!$B$19:$E$19</definedName>
    <definedName name="solver_lhs1" localSheetId="5" hidden="1">Planilha6!$B$12:$D$14</definedName>
    <definedName name="solver_lhs1" localSheetId="6" hidden="1">Planilha7!$B$13:$E$13</definedName>
    <definedName name="solver_lhs2" localSheetId="0" hidden="1">Planilha1!$I$5</definedName>
    <definedName name="solver_lhs2" localSheetId="1" hidden="1">Planilha2!$D$33:$D$35</definedName>
    <definedName name="solver_lhs2" localSheetId="2" hidden="1">Planilha3!$E$10:$E$12</definedName>
    <definedName name="solver_lhs2" localSheetId="3" hidden="1">Planilha4!$F$11:$F$14</definedName>
    <definedName name="solver_lhs2" localSheetId="4" hidden="1">Planilha5!$F$14:$F$18</definedName>
    <definedName name="solver_lhs2" localSheetId="5" hidden="1">Planilha6!$B$15:$D$15</definedName>
    <definedName name="solver_lhs2" localSheetId="6" hidden="1">Planilha7!$B$9:$E$12</definedName>
    <definedName name="solver_lhs3" localSheetId="5" hidden="1">Planilha6!$G$12:$G$14</definedName>
    <definedName name="solver_lhs3" localSheetId="6" hidden="1">Planilha7!$F$9:$F$12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3</definedName>
    <definedName name="solver_num" localSheetId="6" hidden="1">3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pt" localSheetId="0" hidden="1">Planilha1!$D$2</definedName>
    <definedName name="solver_opt" localSheetId="1" hidden="1">Planilha2!$G$30</definedName>
    <definedName name="solver_opt" localSheetId="2" hidden="1">Planilha3!$G$6</definedName>
    <definedName name="solver_opt" localSheetId="3" hidden="1">Planilha4!$H$7</definedName>
    <definedName name="solver_opt" localSheetId="4" hidden="1">Planilha5!$H$8</definedName>
    <definedName name="solver_opt" localSheetId="5" hidden="1">Planilha6!$G$7</definedName>
    <definedName name="solver_opt" localSheetId="6" hidden="1">Planilha7!$H$6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2</definedName>
    <definedName name="solver_rel1" localSheetId="0" hidden="1">1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1" localSheetId="5" hidden="1">5</definedName>
    <definedName name="solver_rel1" localSheetId="6" hidden="1">2</definedName>
    <definedName name="solver_rel2" localSheetId="0" hidden="1">1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2" localSheetId="5" hidden="1">2</definedName>
    <definedName name="solver_rel2" localSheetId="6" hidden="1">5</definedName>
    <definedName name="solver_rel3" localSheetId="5" hidden="1">2</definedName>
    <definedName name="solver_rel3" localSheetId="6" hidden="1">2</definedName>
    <definedName name="solver_rhs1" localSheetId="0" hidden="1">Planilha1!$K$4</definedName>
    <definedName name="solver_rhs1" localSheetId="1" hidden="1">Planilha2!$B$38:$C$38</definedName>
    <definedName name="solver_rhs1" localSheetId="2" hidden="1">Planilha3!$B$15:$D$15</definedName>
    <definedName name="solver_rhs1" localSheetId="3" hidden="1">Planilha4!$B$17:$E$17</definedName>
    <definedName name="solver_rhs1" localSheetId="4" hidden="1">Planilha5!$B$21:$E$21</definedName>
    <definedName name="solver_rhs1" localSheetId="5" hidden="1">"binário"</definedName>
    <definedName name="solver_rhs1" localSheetId="6" hidden="1">Planilha7!$B$15:$E$15</definedName>
    <definedName name="solver_rhs2" localSheetId="0" hidden="1">Planilha1!$K$5</definedName>
    <definedName name="solver_rhs2" localSheetId="1" hidden="1">Planilha2!$F$33:$F$35</definedName>
    <definedName name="solver_rhs2" localSheetId="2" hidden="1">Planilha3!$G$10:$G$12</definedName>
    <definedName name="solver_rhs2" localSheetId="3" hidden="1">Planilha4!$H$11:$H$14</definedName>
    <definedName name="solver_rhs2" localSheetId="4" hidden="1">Planilha5!$H$14:$H$18</definedName>
    <definedName name="solver_rhs2" localSheetId="5" hidden="1">Planilha6!$B$17:$D$17</definedName>
    <definedName name="solver_rhs2" localSheetId="6" hidden="1">"binário"</definedName>
    <definedName name="solver_rhs3" localSheetId="5" hidden="1">Planilha6!$E$12:$E$14</definedName>
    <definedName name="solver_rhs3" localSheetId="6" hidden="1">Planilha7!$H$9:$H$12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yp" localSheetId="0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1" i="7"/>
  <c r="H7" i="7"/>
  <c r="F9" i="10"/>
  <c r="H6" i="10"/>
  <c r="C13" i="10"/>
  <c r="D13" i="10"/>
  <c r="E13" i="10"/>
  <c r="B13" i="10"/>
  <c r="F10" i="10"/>
  <c r="F11" i="10"/>
  <c r="F12" i="10"/>
  <c r="C15" i="9"/>
  <c r="D15" i="9"/>
  <c r="B15" i="9"/>
  <c r="E13" i="9"/>
  <c r="E14" i="9"/>
  <c r="E12" i="9"/>
  <c r="G7" i="9"/>
  <c r="H8" i="8" l="1"/>
  <c r="F15" i="8"/>
  <c r="F16" i="8"/>
  <c r="F17" i="8"/>
  <c r="F18" i="8"/>
  <c r="F14" i="8"/>
  <c r="C19" i="8"/>
  <c r="D19" i="8"/>
  <c r="E19" i="8"/>
  <c r="B19" i="8"/>
  <c r="C15" i="7"/>
  <c r="D15" i="7"/>
  <c r="E15" i="7"/>
  <c r="B15" i="7"/>
  <c r="F12" i="7"/>
  <c r="F13" i="7"/>
  <c r="G6" i="6"/>
  <c r="C13" i="6"/>
  <c r="D13" i="6"/>
  <c r="B13" i="6"/>
  <c r="E11" i="6"/>
  <c r="E12" i="6"/>
  <c r="E10" i="6"/>
  <c r="C36" i="5"/>
  <c r="B36" i="5"/>
  <c r="D34" i="5"/>
  <c r="D35" i="5"/>
  <c r="D33" i="5"/>
  <c r="G30" i="5"/>
  <c r="F36" i="5"/>
  <c r="D22" i="5"/>
  <c r="G16" i="5"/>
  <c r="G4" i="5"/>
  <c r="D10" i="5"/>
  <c r="I5" i="1" l="1"/>
  <c r="I4" i="1"/>
  <c r="D2" i="1"/>
</calcChain>
</file>

<file path=xl/sharedStrings.xml><?xml version="1.0" encoding="utf-8"?>
<sst xmlns="http://schemas.openxmlformats.org/spreadsheetml/2006/main" count="152" uniqueCount="58">
  <si>
    <t>x</t>
  </si>
  <si>
    <t>y</t>
  </si>
  <si>
    <t>função objetivo</t>
  </si>
  <si>
    <t>R1</t>
  </si>
  <si>
    <t>R2</t>
  </si>
  <si>
    <t>PREÇO</t>
  </si>
  <si>
    <t>X</t>
  </si>
  <si>
    <t>Y</t>
  </si>
  <si>
    <t>&lt;=</t>
  </si>
  <si>
    <t>Custo</t>
  </si>
  <si>
    <t>d1</t>
  </si>
  <si>
    <t>d2</t>
  </si>
  <si>
    <t>total</t>
  </si>
  <si>
    <t>custo</t>
  </si>
  <si>
    <t>Total</t>
  </si>
  <si>
    <t>D1</t>
  </si>
  <si>
    <t>D2</t>
  </si>
  <si>
    <t>O1</t>
  </si>
  <si>
    <t>O2</t>
  </si>
  <si>
    <t>O3</t>
  </si>
  <si>
    <t>=</t>
  </si>
  <si>
    <t>ofertado</t>
  </si>
  <si>
    <t>demandado</t>
  </si>
  <si>
    <t>Dummy</t>
  </si>
  <si>
    <t>D3</t>
  </si>
  <si>
    <t>DUMMY</t>
  </si>
  <si>
    <t>CUSTO</t>
  </si>
  <si>
    <t>c1</t>
  </si>
  <si>
    <t>c2</t>
  </si>
  <si>
    <t>c3</t>
  </si>
  <si>
    <t>c4</t>
  </si>
  <si>
    <t>Norte</t>
  </si>
  <si>
    <t xml:space="preserve">sul </t>
  </si>
  <si>
    <t>capacidade</t>
  </si>
  <si>
    <t>Brasil</t>
  </si>
  <si>
    <t>Japão</t>
  </si>
  <si>
    <t>EUA</t>
  </si>
  <si>
    <t>Cuba</t>
  </si>
  <si>
    <t>Bélgica</t>
  </si>
  <si>
    <t>Demanda</t>
  </si>
  <si>
    <t xml:space="preserve">cuba </t>
  </si>
  <si>
    <t>bélgica</t>
  </si>
  <si>
    <t>retica</t>
  </si>
  <si>
    <t>Fresa</t>
  </si>
  <si>
    <t>Torno</t>
  </si>
  <si>
    <t>f1</t>
  </si>
  <si>
    <t>f2</t>
  </si>
  <si>
    <t>f3</t>
  </si>
  <si>
    <t>boia</t>
  </si>
  <si>
    <t>colete</t>
  </si>
  <si>
    <t>prancha</t>
  </si>
  <si>
    <t>snorkel</t>
  </si>
  <si>
    <t>h1</t>
  </si>
  <si>
    <t>h2</t>
  </si>
  <si>
    <t>m1</t>
  </si>
  <si>
    <t>m2</t>
  </si>
  <si>
    <t>Qualidade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</si>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</sst>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right"/>
    </xf>
    <xf numFmtId="0" fontId="0" fillId="7" borderId="1" xfId="0" applyFill="1" applyBorder="1"/>
    <xf numFmtId="0" fontId="0" fillId="4" borderId="0" xfId="0" applyFill="1"/>
    <xf numFmtId="0" fontId="0" fillId="6" borderId="0" xfId="0" applyFill="1"/>
    <xf numFmtId="0" fontId="0" fillId="0" borderId="2" xfId="0" applyBorder="1"/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3" xfId="0" applyFill="1" applyBorder="1"/>
    <xf numFmtId="0" fontId="0" fillId="9" borderId="0" xfId="0" applyFill="1"/>
    <xf numFmtId="0" fontId="0" fillId="8" borderId="3" xfId="0" applyFill="1" applyBorder="1"/>
    <xf numFmtId="0" fontId="0" fillId="11" borderId="1" xfId="0" applyFill="1" applyBorder="1"/>
    <xf numFmtId="0" fontId="0" fillId="5" borderId="0" xfId="0" applyFill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123824</xdr:colOff>
      <xdr:row>0</xdr:row>
      <xdr:rowOff>0</xdr:rowOff>
    </xdr:from>
    <xdr:to>
      <xdr:col>18</xdr:col>
      <xdr:colOff>27287</xdr:colOff>
      <xdr:row>13</xdr:row>
      <xdr:rowOff>141368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824" y="0"/>
          <a:ext cx="4780263" cy="2617868"/>
        </a:xfrm>
        <a:prstGeom prst="rect">
          <a:avLst/>
        </a:prstGeom>
      </xdr:spPr>
    </xdr:pic>
    <xdr:clientData/>
  </xdr:twoCellAnchor>
  <xdr:twoCellAnchor editAs="oneCell">
    <xdr:from>
      <xdr:col>10</xdr:col>
      <xdr:colOff>209550</xdr:colOff>
      <xdr:row>14</xdr:row>
      <xdr:rowOff>148316</xdr:rowOff>
    </xdr:from>
    <xdr:to>
      <xdr:col>16</xdr:col>
      <xdr:colOff>418011</xdr:colOff>
      <xdr:row>26</xdr:row>
      <xdr:rowOff>66055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05550" y="2815316"/>
          <a:ext cx="3866061" cy="2203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352425</xdr:colOff>
      <xdr:row>0</xdr:row>
      <xdr:rowOff>0</xdr:rowOff>
    </xdr:from>
    <xdr:to>
      <xdr:col>18</xdr:col>
      <xdr:colOff>360475</xdr:colOff>
      <xdr:row>15</xdr:row>
      <xdr:rowOff>37411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8425" y="0"/>
          <a:ext cx="4884850" cy="2894911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15</xdr:row>
      <xdr:rowOff>138239</xdr:rowOff>
    </xdr:from>
    <xdr:to>
      <xdr:col>19</xdr:col>
      <xdr:colOff>238125</xdr:colOff>
      <xdr:row>27</xdr:row>
      <xdr:rowOff>37629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1"/>
        <a:stretch/>
      </xdr:blipFill>
      <xdr:spPr>
        <a:xfrm>
          <a:off x="5905500" y="2995739"/>
          <a:ext cx="5915025" cy="21853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480030</xdr:colOff>
      <xdr:row>0</xdr:row>
      <xdr:rowOff>85725</xdr:rowOff>
    </xdr:from>
    <xdr:to>
      <xdr:col>19</xdr:col>
      <xdr:colOff>580352</xdr:colOff>
      <xdr:row>9</xdr:row>
      <xdr:rowOff>47325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4830" y="85725"/>
          <a:ext cx="3757922" cy="1676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276225</xdr:colOff>
      <xdr:row>10</xdr:row>
      <xdr:rowOff>19050</xdr:rowOff>
    </xdr:from>
    <xdr:to>
      <xdr:col>15</xdr:col>
      <xdr:colOff>523463</xdr:colOff>
      <xdr:row>19</xdr:row>
      <xdr:rowOff>180740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1924050"/>
          <a:ext cx="3295238" cy="18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333375</xdr:colOff>
      <xdr:row>13</xdr:row>
      <xdr:rowOff>75443</xdr:rowOff>
    </xdr:from>
    <xdr:to>
      <xdr:col>19</xdr:col>
      <xdr:colOff>294045</xdr:colOff>
      <xdr:row>28</xdr:row>
      <xdr:rowOff>18337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8975" y="2551943"/>
          <a:ext cx="4837470" cy="2800394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0</xdr:row>
      <xdr:rowOff>0</xdr:rowOff>
    </xdr:from>
    <xdr:to>
      <xdr:col>18</xdr:col>
      <xdr:colOff>608351</xdr:colOff>
      <xdr:row>13</xdr:row>
      <xdr:rowOff>79282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0"/>
          <a:ext cx="4570751" cy="255578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2</xdr:row>
      <xdr:rowOff>38100</xdr:rowOff>
    </xdr:from>
    <xdr:to>
      <xdr:col>21</xdr:col>
      <xdr:colOff>170549</xdr:colOff>
      <xdr:row>12</xdr:row>
      <xdr:rowOff>28338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419100"/>
          <a:ext cx="7209524" cy="189523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533910</xdr:colOff>
      <xdr:row>2</xdr:row>
      <xdr:rowOff>9525</xdr:rowOff>
    </xdr:from>
    <xdr:to>
      <xdr:col>21</xdr:col>
      <xdr:colOff>65567</xdr:colOff>
      <xdr:row>16</xdr:row>
      <xdr:rowOff>56615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510" y="390525"/>
          <a:ext cx="5627657" cy="27140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K5" sqref="K5"/>
    </sheetView>
  </sheetViews>
  <sheetFormatPr defaultRowHeight="15" x14ac:dyDescent="0.25"/>
  <cols>
    <col min="2" max="2" width="2" bestFit="1" customWidth="1"/>
    <col min="3" max="3" width="6.85546875" bestFit="1" customWidth="1"/>
    <col min="4" max="4" width="15" bestFit="1" customWidth="1"/>
    <col min="6" max="6" width="3.140625" bestFit="1" customWidth="1"/>
    <col min="7" max="7" width="2.140625" bestFit="1" customWidth="1"/>
    <col min="9" max="9" width="5" customWidth="1"/>
    <col min="10" max="10" width="5.5703125" customWidth="1"/>
  </cols>
  <sheetData>
    <row r="1" spans="1:11" x14ac:dyDescent="0.25">
      <c r="A1" s="1" t="s">
        <v>0</v>
      </c>
      <c r="B1" s="1" t="s">
        <v>1</v>
      </c>
      <c r="D1" s="3" t="s">
        <v>2</v>
      </c>
    </row>
    <row r="2" spans="1:11" x14ac:dyDescent="0.25">
      <c r="A2" s="1">
        <v>3</v>
      </c>
      <c r="B2" s="1">
        <v>1</v>
      </c>
      <c r="C2" t="s">
        <v>5</v>
      </c>
      <c r="D2" s="3">
        <f>(A2*A3)+(B2*B3)</f>
        <v>13.5</v>
      </c>
    </row>
    <row r="3" spans="1:11" x14ac:dyDescent="0.25">
      <c r="A3" s="2">
        <v>4.5</v>
      </c>
      <c r="B3" s="2">
        <v>0</v>
      </c>
      <c r="G3" s="1" t="s">
        <v>6</v>
      </c>
      <c r="H3" s="1" t="s">
        <v>7</v>
      </c>
    </row>
    <row r="4" spans="1:11" x14ac:dyDescent="0.25">
      <c r="F4" s="1" t="s">
        <v>3</v>
      </c>
      <c r="G4" s="1">
        <v>2</v>
      </c>
      <c r="H4" s="1">
        <v>3</v>
      </c>
      <c r="I4" s="3">
        <f>G4*A3+H4*B3</f>
        <v>9</v>
      </c>
      <c r="J4" s="1" t="s">
        <v>8</v>
      </c>
      <c r="K4" s="1">
        <v>9</v>
      </c>
    </row>
    <row r="5" spans="1:11" x14ac:dyDescent="0.25">
      <c r="F5" s="1" t="s">
        <v>4</v>
      </c>
      <c r="G5" s="1">
        <v>2</v>
      </c>
      <c r="H5" s="1">
        <v>1</v>
      </c>
      <c r="I5" s="3">
        <f>G5*A3+H5*B3</f>
        <v>9</v>
      </c>
      <c r="J5" s="1" t="s">
        <v>8</v>
      </c>
      <c r="K5" s="1">
        <v>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opLeftCell="A10" workbookViewId="0">
      <selection activeCell="C38" sqref="C38"/>
    </sheetView>
  </sheetViews>
  <sheetFormatPr defaultRowHeight="15" x14ac:dyDescent="0.25"/>
  <cols>
    <col min="8" max="8" width="11.5703125" bestFit="1" customWidth="1"/>
  </cols>
  <sheetData>
    <row r="1" spans="1:8" x14ac:dyDescent="0.25">
      <c r="A1" s="1"/>
      <c r="B1" s="1" t="s">
        <v>10</v>
      </c>
      <c r="C1" s="1" t="s">
        <v>11</v>
      </c>
    </row>
    <row r="2" spans="1:8" x14ac:dyDescent="0.25">
      <c r="A2" s="1">
        <v>1</v>
      </c>
      <c r="B2" s="1">
        <v>10</v>
      </c>
      <c r="C2" s="1">
        <v>12</v>
      </c>
    </row>
    <row r="3" spans="1:8" x14ac:dyDescent="0.25">
      <c r="A3" s="1">
        <v>2</v>
      </c>
      <c r="B3" s="1">
        <v>20</v>
      </c>
      <c r="C3" s="1">
        <v>8</v>
      </c>
    </row>
    <row r="4" spans="1:8" x14ac:dyDescent="0.25">
      <c r="A4" s="1">
        <v>3</v>
      </c>
      <c r="B4" s="1">
        <v>6</v>
      </c>
      <c r="C4" s="1">
        <v>15</v>
      </c>
      <c r="F4" s="1" t="s">
        <v>13</v>
      </c>
      <c r="G4" s="1">
        <f>SUMPRODUCT(B2:C4,B7:C9)</f>
        <v>3700</v>
      </c>
    </row>
    <row r="6" spans="1:8" x14ac:dyDescent="0.25">
      <c r="A6" s="1"/>
      <c r="B6" s="1" t="s">
        <v>10</v>
      </c>
      <c r="C6" s="1" t="s">
        <v>11</v>
      </c>
      <c r="D6" s="1" t="s">
        <v>12</v>
      </c>
    </row>
    <row r="7" spans="1:8" x14ac:dyDescent="0.25">
      <c r="A7" s="1">
        <v>1</v>
      </c>
      <c r="B7" s="1">
        <v>50</v>
      </c>
      <c r="C7" s="1">
        <v>0</v>
      </c>
      <c r="D7" s="1">
        <v>50</v>
      </c>
    </row>
    <row r="8" spans="1:8" x14ac:dyDescent="0.25">
      <c r="A8" s="1">
        <v>2</v>
      </c>
      <c r="B8" s="1">
        <v>50</v>
      </c>
      <c r="C8" s="1">
        <v>50</v>
      </c>
      <c r="D8" s="1">
        <v>100</v>
      </c>
    </row>
    <row r="9" spans="1:8" x14ac:dyDescent="0.25">
      <c r="A9" s="1">
        <v>3</v>
      </c>
      <c r="B9" s="1">
        <v>0</v>
      </c>
      <c r="C9" s="1">
        <v>120</v>
      </c>
      <c r="D9" s="1">
        <v>120</v>
      </c>
    </row>
    <row r="10" spans="1:8" x14ac:dyDescent="0.25">
      <c r="A10" s="1"/>
      <c r="B10" s="1">
        <v>100</v>
      </c>
      <c r="C10" s="1">
        <v>170</v>
      </c>
      <c r="D10" s="1">
        <f>D9+D8+D7</f>
        <v>270</v>
      </c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3" spans="1:8" x14ac:dyDescent="0.25">
      <c r="A13" s="1"/>
      <c r="B13" s="1" t="s">
        <v>10</v>
      </c>
      <c r="C13" s="1" t="s">
        <v>11</v>
      </c>
    </row>
    <row r="14" spans="1:8" x14ac:dyDescent="0.25">
      <c r="A14" s="1">
        <v>1</v>
      </c>
      <c r="B14" s="1">
        <v>10</v>
      </c>
      <c r="C14" s="1">
        <v>12</v>
      </c>
    </row>
    <row r="15" spans="1:8" x14ac:dyDescent="0.25">
      <c r="A15" s="1">
        <v>2</v>
      </c>
      <c r="B15" s="1">
        <v>20</v>
      </c>
      <c r="C15" s="1">
        <v>8</v>
      </c>
    </row>
    <row r="16" spans="1:8" x14ac:dyDescent="0.25">
      <c r="A16" s="1">
        <v>3</v>
      </c>
      <c r="B16" s="1">
        <v>6</v>
      </c>
      <c r="C16" s="1">
        <v>15</v>
      </c>
      <c r="F16" s="1" t="s">
        <v>13</v>
      </c>
      <c r="G16" s="1">
        <f>SUMPRODUCT(B14:C16,B19:C21)</f>
        <v>2300</v>
      </c>
    </row>
    <row r="18" spans="1:8" x14ac:dyDescent="0.25">
      <c r="A18" s="1"/>
      <c r="B18" s="1" t="s">
        <v>10</v>
      </c>
      <c r="C18" s="1" t="s">
        <v>11</v>
      </c>
      <c r="D18" s="1" t="s">
        <v>12</v>
      </c>
    </row>
    <row r="19" spans="1:8" x14ac:dyDescent="0.25">
      <c r="A19" s="1">
        <v>1</v>
      </c>
      <c r="B19" s="1">
        <v>0</v>
      </c>
      <c r="C19" s="1">
        <v>50</v>
      </c>
      <c r="D19" s="5">
        <v>50</v>
      </c>
    </row>
    <row r="20" spans="1:8" x14ac:dyDescent="0.25">
      <c r="A20" s="1">
        <v>2</v>
      </c>
      <c r="B20" s="1">
        <v>0</v>
      </c>
      <c r="C20" s="1">
        <v>100</v>
      </c>
      <c r="D20" s="5">
        <v>100</v>
      </c>
    </row>
    <row r="21" spans="1:8" x14ac:dyDescent="0.25">
      <c r="A21" s="1">
        <v>3</v>
      </c>
      <c r="B21" s="1">
        <v>100</v>
      </c>
      <c r="C21" s="1">
        <v>20</v>
      </c>
      <c r="D21" s="5">
        <v>120</v>
      </c>
    </row>
    <row r="22" spans="1:8" x14ac:dyDescent="0.25">
      <c r="A22" s="1" t="s">
        <v>14</v>
      </c>
      <c r="B22" s="7">
        <v>100</v>
      </c>
      <c r="C22" s="7">
        <v>170</v>
      </c>
      <c r="D22" s="1">
        <f>D21+D20+D19</f>
        <v>270</v>
      </c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7" spans="1:8" x14ac:dyDescent="0.25">
      <c r="A27" s="1"/>
      <c r="B27" s="1" t="s">
        <v>15</v>
      </c>
      <c r="C27" s="1" t="s">
        <v>16</v>
      </c>
    </row>
    <row r="28" spans="1:8" x14ac:dyDescent="0.25">
      <c r="A28" s="8" t="s">
        <v>17</v>
      </c>
      <c r="B28" s="2">
        <v>10</v>
      </c>
      <c r="C28" s="2">
        <v>12</v>
      </c>
    </row>
    <row r="29" spans="1:8" x14ac:dyDescent="0.25">
      <c r="A29" s="8" t="s">
        <v>18</v>
      </c>
      <c r="B29" s="2">
        <v>20</v>
      </c>
      <c r="C29" s="2">
        <v>8</v>
      </c>
    </row>
    <row r="30" spans="1:8" x14ac:dyDescent="0.25">
      <c r="A30" s="8" t="s">
        <v>19</v>
      </c>
      <c r="B30" s="2">
        <v>6</v>
      </c>
      <c r="C30" s="2">
        <v>15</v>
      </c>
      <c r="F30" s="1" t="s">
        <v>13</v>
      </c>
      <c r="G30" s="1">
        <f>SUMPRODUCT(B28:C30,B33:C35)</f>
        <v>2300</v>
      </c>
    </row>
    <row r="32" spans="1:8" x14ac:dyDescent="0.25">
      <c r="A32" s="1"/>
      <c r="B32" s="1" t="s">
        <v>10</v>
      </c>
      <c r="C32" s="1" t="s">
        <v>11</v>
      </c>
      <c r="F32" s="1" t="s">
        <v>12</v>
      </c>
    </row>
    <row r="33" spans="1:8" x14ac:dyDescent="0.25">
      <c r="A33" s="8" t="s">
        <v>17</v>
      </c>
      <c r="B33" s="1">
        <v>0</v>
      </c>
      <c r="C33" s="1">
        <v>50</v>
      </c>
      <c r="D33" s="6">
        <f>SUM(B33:C33)</f>
        <v>50</v>
      </c>
      <c r="E33" s="9" t="s">
        <v>20</v>
      </c>
      <c r="F33" s="5">
        <v>50</v>
      </c>
      <c r="H33" s="10" t="s">
        <v>21</v>
      </c>
    </row>
    <row r="34" spans="1:8" x14ac:dyDescent="0.25">
      <c r="A34" s="8" t="s">
        <v>18</v>
      </c>
      <c r="B34" s="1">
        <v>0</v>
      </c>
      <c r="C34" s="1">
        <v>100</v>
      </c>
      <c r="D34" s="6">
        <f t="shared" ref="D34:D35" si="0">SUM(B34:C34)</f>
        <v>100</v>
      </c>
      <c r="E34" s="9" t="s">
        <v>20</v>
      </c>
      <c r="F34" s="5">
        <v>100</v>
      </c>
      <c r="H34" s="11" t="s">
        <v>22</v>
      </c>
    </row>
    <row r="35" spans="1:8" x14ac:dyDescent="0.25">
      <c r="A35" s="8" t="s">
        <v>19</v>
      </c>
      <c r="B35" s="1">
        <v>100</v>
      </c>
      <c r="C35" s="1">
        <v>20</v>
      </c>
      <c r="D35" s="6">
        <f t="shared" si="0"/>
        <v>120</v>
      </c>
      <c r="E35" s="9" t="s">
        <v>20</v>
      </c>
      <c r="F35" s="5">
        <v>120</v>
      </c>
    </row>
    <row r="36" spans="1:8" x14ac:dyDescent="0.25">
      <c r="B36" s="6">
        <f>SUM(B33:B35)</f>
        <v>100</v>
      </c>
      <c r="C36" s="6">
        <f>SUM(C33:C35)</f>
        <v>170</v>
      </c>
      <c r="F36" s="1">
        <f>F35+F34+F33</f>
        <v>270</v>
      </c>
    </row>
    <row r="37" spans="1:8" x14ac:dyDescent="0.25">
      <c r="B37" s="9" t="s">
        <v>20</v>
      </c>
      <c r="C37" s="9" t="s">
        <v>20</v>
      </c>
    </row>
    <row r="38" spans="1:8" x14ac:dyDescent="0.25">
      <c r="A38" s="1" t="s">
        <v>14</v>
      </c>
      <c r="B38" s="7">
        <v>100</v>
      </c>
      <c r="C38" s="7">
        <v>170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I8" sqref="I8"/>
    </sheetView>
  </sheetViews>
  <sheetFormatPr defaultRowHeight="15" x14ac:dyDescent="0.25"/>
  <sheetData>
    <row r="1" spans="1:7" x14ac:dyDescent="0.25">
      <c r="A1" s="12"/>
      <c r="B1" s="12" t="s">
        <v>15</v>
      </c>
      <c r="C1" s="12" t="s">
        <v>16</v>
      </c>
      <c r="D1" t="s">
        <v>24</v>
      </c>
    </row>
    <row r="2" spans="1:7" x14ac:dyDescent="0.25">
      <c r="A2" s="8" t="s">
        <v>17</v>
      </c>
      <c r="B2" s="1">
        <v>140</v>
      </c>
      <c r="C2" s="1">
        <v>60</v>
      </c>
      <c r="D2" s="1">
        <v>110</v>
      </c>
    </row>
    <row r="3" spans="1:7" x14ac:dyDescent="0.25">
      <c r="A3" s="8" t="s">
        <v>18</v>
      </c>
      <c r="B3" s="1">
        <v>70</v>
      </c>
      <c r="C3" s="1">
        <v>90</v>
      </c>
      <c r="D3" s="1">
        <v>120</v>
      </c>
    </row>
    <row r="4" spans="1:7" x14ac:dyDescent="0.25">
      <c r="A4" s="8" t="s">
        <v>19</v>
      </c>
      <c r="B4" s="1">
        <v>0</v>
      </c>
      <c r="C4" s="1">
        <v>0</v>
      </c>
      <c r="D4" s="1">
        <v>0</v>
      </c>
    </row>
    <row r="5" spans="1:7" x14ac:dyDescent="0.25">
      <c r="A5" s="1"/>
      <c r="B5" s="13"/>
      <c r="C5" s="13"/>
      <c r="D5" s="14"/>
    </row>
    <row r="6" spans="1:7" x14ac:dyDescent="0.25">
      <c r="F6" t="s">
        <v>26</v>
      </c>
      <c r="G6">
        <f>SUMPRODUCT(B2:D4,B10:D12)</f>
        <v>1910</v>
      </c>
    </row>
    <row r="9" spans="1:7" x14ac:dyDescent="0.25">
      <c r="A9" s="1"/>
      <c r="B9" s="1" t="s">
        <v>15</v>
      </c>
      <c r="C9" s="1" t="s">
        <v>16</v>
      </c>
      <c r="D9" s="1" t="s">
        <v>24</v>
      </c>
    </row>
    <row r="10" spans="1:7" x14ac:dyDescent="0.25">
      <c r="A10" s="1" t="s">
        <v>17</v>
      </c>
      <c r="B10" s="1">
        <v>0</v>
      </c>
      <c r="C10" s="1">
        <v>14</v>
      </c>
      <c r="D10" s="1">
        <v>1</v>
      </c>
      <c r="E10" s="13">
        <f>SUM(B10:D10)</f>
        <v>15</v>
      </c>
      <c r="F10" t="s">
        <v>20</v>
      </c>
      <c r="G10" s="2">
        <v>15</v>
      </c>
    </row>
    <row r="11" spans="1:7" x14ac:dyDescent="0.25">
      <c r="A11" s="1" t="s">
        <v>18</v>
      </c>
      <c r="B11" s="1">
        <v>12</v>
      </c>
      <c r="C11" s="1">
        <v>0</v>
      </c>
      <c r="D11" s="1">
        <v>1</v>
      </c>
      <c r="E11" s="13">
        <f t="shared" ref="E11:E12" si="0">SUM(B11:D11)</f>
        <v>13</v>
      </c>
      <c r="F11" t="s">
        <v>20</v>
      </c>
      <c r="G11" s="2">
        <v>13</v>
      </c>
    </row>
    <row r="12" spans="1:7" x14ac:dyDescent="0.25">
      <c r="A12" s="1" t="s">
        <v>25</v>
      </c>
      <c r="B12" s="1">
        <v>0</v>
      </c>
      <c r="C12" s="1">
        <v>0</v>
      </c>
      <c r="D12" s="1">
        <v>5</v>
      </c>
      <c r="E12" s="13">
        <f t="shared" si="0"/>
        <v>5</v>
      </c>
      <c r="F12" t="s">
        <v>20</v>
      </c>
      <c r="G12" s="2">
        <v>5</v>
      </c>
    </row>
    <row r="13" spans="1:7" x14ac:dyDescent="0.25">
      <c r="A13" s="1"/>
      <c r="B13" s="13">
        <f>SUM(B10:B12)</f>
        <v>12</v>
      </c>
      <c r="C13" s="13">
        <f t="shared" ref="C13:D13" si="1">SUM(C10:C12)</f>
        <v>14</v>
      </c>
      <c r="D13" s="13">
        <f t="shared" si="1"/>
        <v>7</v>
      </c>
    </row>
    <row r="14" spans="1:7" x14ac:dyDescent="0.25">
      <c r="B14" t="s">
        <v>20</v>
      </c>
      <c r="C14" t="s">
        <v>20</v>
      </c>
      <c r="D14" t="s">
        <v>20</v>
      </c>
    </row>
    <row r="15" spans="1:7" x14ac:dyDescent="0.25">
      <c r="A15" s="1"/>
      <c r="B15" s="2">
        <v>12</v>
      </c>
      <c r="C15" s="2">
        <v>14</v>
      </c>
      <c r="D15" s="2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tabSelected="1" workbookViewId="0">
      <selection activeCell="F14" sqref="F14"/>
    </sheetView>
  </sheetViews>
  <sheetFormatPr defaultRowHeight="15" x14ac:dyDescent="0.25"/>
  <sheetData>
    <row r="1" spans="1:8" x14ac:dyDescent="0.25">
      <c r="A1" s="12"/>
      <c r="B1" s="12" t="s">
        <v>27</v>
      </c>
      <c r="C1" s="12" t="s">
        <v>28</v>
      </c>
      <c r="D1" t="s">
        <v>29</v>
      </c>
      <c r="E1" s="8" t="s">
        <v>30</v>
      </c>
    </row>
    <row r="2" spans="1:8" x14ac:dyDescent="0.25">
      <c r="A2" s="8" t="s">
        <v>17</v>
      </c>
      <c r="B2" s="18">
        <v>50</v>
      </c>
      <c r="C2" s="18">
        <v>32</v>
      </c>
      <c r="D2" s="18">
        <v>61</v>
      </c>
      <c r="E2" s="18">
        <v>14</v>
      </c>
    </row>
    <row r="3" spans="1:8" x14ac:dyDescent="0.25">
      <c r="A3" s="8" t="s">
        <v>18</v>
      </c>
      <c r="B3" s="18">
        <v>80</v>
      </c>
      <c r="C3" s="18">
        <v>52</v>
      </c>
      <c r="D3" s="18">
        <v>35</v>
      </c>
      <c r="E3" s="18">
        <v>33</v>
      </c>
    </row>
    <row r="4" spans="1:8" x14ac:dyDescent="0.25">
      <c r="A4" s="8" t="s">
        <v>19</v>
      </c>
      <c r="B4" s="18">
        <v>20</v>
      </c>
      <c r="C4" s="18">
        <v>9</v>
      </c>
      <c r="D4" s="18">
        <v>58</v>
      </c>
      <c r="E4" s="18">
        <v>34</v>
      </c>
    </row>
    <row r="5" spans="1:8" x14ac:dyDescent="0.25">
      <c r="A5" s="8" t="s">
        <v>23</v>
      </c>
      <c r="B5" s="14">
        <v>1</v>
      </c>
      <c r="C5" s="14">
        <v>999</v>
      </c>
      <c r="D5" s="14">
        <v>3</v>
      </c>
      <c r="E5" s="14">
        <v>4</v>
      </c>
    </row>
    <row r="7" spans="1:8" x14ac:dyDescent="0.25">
      <c r="A7" s="1"/>
      <c r="B7" s="13"/>
      <c r="C7" s="13"/>
      <c r="D7" s="13"/>
      <c r="G7" t="s">
        <v>9</v>
      </c>
      <c r="H7">
        <f>SUMPRODUCT(B2:E5,B11:E14)</f>
        <v>4720</v>
      </c>
    </row>
    <row r="10" spans="1:8" x14ac:dyDescent="0.25">
      <c r="A10" s="12"/>
      <c r="B10" s="12" t="s">
        <v>15</v>
      </c>
      <c r="C10" s="12" t="s">
        <v>16</v>
      </c>
      <c r="D10" s="1" t="s">
        <v>24</v>
      </c>
      <c r="E10" s="8" t="s">
        <v>23</v>
      </c>
    </row>
    <row r="11" spans="1:8" x14ac:dyDescent="0.25">
      <c r="A11" s="8" t="s">
        <v>17</v>
      </c>
      <c r="B11" s="15">
        <v>0</v>
      </c>
      <c r="C11" s="15">
        <v>30</v>
      </c>
      <c r="D11" s="15">
        <v>0</v>
      </c>
      <c r="E11" s="15">
        <v>0</v>
      </c>
      <c r="F11" s="13">
        <f>SUM(B11:E11)</f>
        <v>30</v>
      </c>
      <c r="H11" s="16">
        <v>30</v>
      </c>
    </row>
    <row r="12" spans="1:8" x14ac:dyDescent="0.25">
      <c r="A12" s="8" t="s">
        <v>18</v>
      </c>
      <c r="B12" s="15">
        <v>0</v>
      </c>
      <c r="C12" s="15">
        <v>0</v>
      </c>
      <c r="D12" s="15">
        <v>60</v>
      </c>
      <c r="E12" s="15">
        <v>30</v>
      </c>
      <c r="F12" s="13">
        <f t="shared" ref="F12:F13" si="0">SUM(B12:E12)</f>
        <v>90</v>
      </c>
      <c r="H12" s="16">
        <v>90</v>
      </c>
    </row>
    <row r="13" spans="1:8" x14ac:dyDescent="0.25">
      <c r="A13" s="8" t="s">
        <v>19</v>
      </c>
      <c r="B13" s="15">
        <v>0</v>
      </c>
      <c r="C13" s="15">
        <v>70</v>
      </c>
      <c r="D13" s="15">
        <v>0</v>
      </c>
      <c r="E13" s="15">
        <v>0</v>
      </c>
      <c r="F13" s="13">
        <f t="shared" si="0"/>
        <v>70</v>
      </c>
      <c r="H13" s="16">
        <v>70</v>
      </c>
    </row>
    <row r="14" spans="1:8" x14ac:dyDescent="0.25">
      <c r="A14" s="8" t="s">
        <v>57</v>
      </c>
      <c r="B14" s="15">
        <v>10</v>
      </c>
      <c r="C14" s="15">
        <v>0</v>
      </c>
      <c r="D14" s="15">
        <v>10</v>
      </c>
      <c r="E14" s="15">
        <v>0</v>
      </c>
      <c r="F14" s="13">
        <f>SUM(B14:E14)</f>
        <v>20</v>
      </c>
      <c r="H14" s="16">
        <v>20</v>
      </c>
    </row>
    <row r="15" spans="1:8" x14ac:dyDescent="0.25">
      <c r="B15" s="13">
        <f>SUM(B11:B14)</f>
        <v>10</v>
      </c>
      <c r="C15" s="13">
        <f t="shared" ref="C15:E15" si="1">SUM(C11:C14)</f>
        <v>100</v>
      </c>
      <c r="D15" s="13">
        <f t="shared" si="1"/>
        <v>70</v>
      </c>
      <c r="E15" s="13">
        <f t="shared" si="1"/>
        <v>30</v>
      </c>
    </row>
    <row r="17" spans="2:5" x14ac:dyDescent="0.25">
      <c r="B17" s="17">
        <v>10</v>
      </c>
      <c r="C17" s="17">
        <v>100</v>
      </c>
      <c r="D17" s="17">
        <v>70</v>
      </c>
      <c r="E17" s="17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opLeftCell="A7" zoomScale="85" zoomScaleNormal="85" workbookViewId="0">
      <selection activeCell="F21" sqref="F21"/>
    </sheetView>
  </sheetViews>
  <sheetFormatPr defaultRowHeight="15" x14ac:dyDescent="0.25"/>
  <cols>
    <col min="2" max="2" width="12.140625" customWidth="1"/>
    <col min="5" max="5" width="11.85546875" customWidth="1"/>
    <col min="6" max="6" width="13" customWidth="1"/>
  </cols>
  <sheetData>
    <row r="1" spans="1:8" x14ac:dyDescent="0.25">
      <c r="A1" s="1"/>
      <c r="B1" s="1" t="s">
        <v>40</v>
      </c>
      <c r="C1" t="s">
        <v>41</v>
      </c>
      <c r="D1" s="1" t="s">
        <v>31</v>
      </c>
      <c r="E1" s="1" t="s">
        <v>32</v>
      </c>
    </row>
    <row r="2" spans="1:8" x14ac:dyDescent="0.25">
      <c r="A2" s="1" t="s">
        <v>34</v>
      </c>
      <c r="B2" s="1">
        <v>40</v>
      </c>
      <c r="C2" s="1">
        <v>45</v>
      </c>
      <c r="D2" s="1">
        <v>999</v>
      </c>
      <c r="E2" s="1">
        <v>999</v>
      </c>
    </row>
    <row r="3" spans="1:8" x14ac:dyDescent="0.25">
      <c r="A3" s="1" t="s">
        <v>35</v>
      </c>
      <c r="B3" s="1">
        <v>55</v>
      </c>
      <c r="C3" s="1">
        <v>30</v>
      </c>
      <c r="D3" s="1">
        <v>999</v>
      </c>
      <c r="E3" s="1">
        <v>999</v>
      </c>
    </row>
    <row r="4" spans="1:8" x14ac:dyDescent="0.25">
      <c r="A4" s="1" t="s">
        <v>36</v>
      </c>
      <c r="B4" s="1">
        <v>999</v>
      </c>
      <c r="C4" s="1">
        <v>35</v>
      </c>
      <c r="D4" s="1">
        <v>999</v>
      </c>
      <c r="E4" s="1">
        <v>999</v>
      </c>
    </row>
    <row r="5" spans="1:8" x14ac:dyDescent="0.25">
      <c r="A5" s="1" t="s">
        <v>37</v>
      </c>
      <c r="B5" s="1">
        <v>0</v>
      </c>
      <c r="C5" s="1">
        <v>25</v>
      </c>
      <c r="D5" s="1">
        <v>30</v>
      </c>
      <c r="E5" s="1">
        <v>40</v>
      </c>
    </row>
    <row r="6" spans="1:8" x14ac:dyDescent="0.25">
      <c r="A6" s="1" t="s">
        <v>38</v>
      </c>
      <c r="B6" s="1">
        <v>25</v>
      </c>
      <c r="C6" s="1">
        <v>0</v>
      </c>
      <c r="D6" s="1">
        <v>40</v>
      </c>
      <c r="E6" s="1">
        <v>35</v>
      </c>
    </row>
    <row r="8" spans="1:8" x14ac:dyDescent="0.25">
      <c r="G8" t="s">
        <v>13</v>
      </c>
      <c r="H8">
        <f>SUMPRODUCT(B2:E6,B14:E18)</f>
        <v>63800</v>
      </c>
    </row>
    <row r="13" spans="1:8" x14ac:dyDescent="0.25">
      <c r="A13" s="1"/>
      <c r="B13" s="1" t="s">
        <v>40</v>
      </c>
      <c r="C13" s="1" t="s">
        <v>41</v>
      </c>
      <c r="D13" s="1" t="s">
        <v>31</v>
      </c>
      <c r="E13" s="1" t="s">
        <v>32</v>
      </c>
      <c r="F13" s="1" t="s">
        <v>33</v>
      </c>
    </row>
    <row r="14" spans="1:8" x14ac:dyDescent="0.25">
      <c r="A14" s="1" t="s">
        <v>34</v>
      </c>
      <c r="B14" s="1">
        <v>300</v>
      </c>
      <c r="C14" s="1">
        <v>0</v>
      </c>
      <c r="D14" s="1">
        <v>0</v>
      </c>
      <c r="E14" s="1">
        <v>0</v>
      </c>
      <c r="F14" s="1">
        <f>SUM(B14:E14)</f>
        <v>300</v>
      </c>
      <c r="G14" t="s">
        <v>20</v>
      </c>
      <c r="H14" s="13">
        <v>300</v>
      </c>
    </row>
    <row r="15" spans="1:8" x14ac:dyDescent="0.25">
      <c r="A15" s="1" t="s">
        <v>35</v>
      </c>
      <c r="B15" s="1">
        <v>0</v>
      </c>
      <c r="C15" s="1">
        <v>220</v>
      </c>
      <c r="D15" s="1">
        <v>0</v>
      </c>
      <c r="E15" s="1">
        <v>0</v>
      </c>
      <c r="F15" s="1">
        <f t="shared" ref="F15:F18" si="0">SUM(B15:E15)</f>
        <v>220</v>
      </c>
      <c r="G15" t="s">
        <v>20</v>
      </c>
      <c r="H15" s="13">
        <v>220</v>
      </c>
    </row>
    <row r="16" spans="1:8" x14ac:dyDescent="0.25">
      <c r="A16" s="1" t="s">
        <v>36</v>
      </c>
      <c r="B16" s="1">
        <v>0</v>
      </c>
      <c r="C16" s="1">
        <v>400</v>
      </c>
      <c r="D16" s="1">
        <v>0</v>
      </c>
      <c r="E16" s="1">
        <v>0</v>
      </c>
      <c r="F16" s="1">
        <f t="shared" si="0"/>
        <v>400</v>
      </c>
      <c r="G16" t="s">
        <v>20</v>
      </c>
      <c r="H16" s="13">
        <v>400</v>
      </c>
    </row>
    <row r="17" spans="1:8" x14ac:dyDescent="0.25">
      <c r="A17" s="1" t="s">
        <v>37</v>
      </c>
      <c r="B17" s="1">
        <v>620</v>
      </c>
      <c r="C17" s="1">
        <v>0</v>
      </c>
      <c r="D17" s="1">
        <v>300</v>
      </c>
      <c r="E17" s="1">
        <v>0</v>
      </c>
      <c r="F17" s="1">
        <f t="shared" si="0"/>
        <v>920</v>
      </c>
      <c r="G17" t="s">
        <v>20</v>
      </c>
      <c r="H17" s="13">
        <v>920</v>
      </c>
    </row>
    <row r="18" spans="1:8" x14ac:dyDescent="0.25">
      <c r="A18" s="1" t="s">
        <v>38</v>
      </c>
      <c r="B18" s="1">
        <v>0</v>
      </c>
      <c r="C18" s="1">
        <v>300</v>
      </c>
      <c r="D18" s="1">
        <v>100</v>
      </c>
      <c r="E18" s="1">
        <v>520</v>
      </c>
      <c r="F18" s="1">
        <f t="shared" si="0"/>
        <v>920</v>
      </c>
      <c r="G18" t="s">
        <v>20</v>
      </c>
      <c r="H18" s="13">
        <v>920</v>
      </c>
    </row>
    <row r="19" spans="1:8" x14ac:dyDescent="0.25">
      <c r="A19" s="1" t="s">
        <v>39</v>
      </c>
      <c r="B19" s="1">
        <f>SUM(B14:B18)</f>
        <v>920</v>
      </c>
      <c r="C19" s="1">
        <f t="shared" ref="C19:E19" si="1">SUM(C14:C18)</f>
        <v>920</v>
      </c>
      <c r="D19" s="1">
        <f t="shared" si="1"/>
        <v>400</v>
      </c>
      <c r="E19" s="1">
        <f t="shared" si="1"/>
        <v>520</v>
      </c>
    </row>
    <row r="20" spans="1:8" x14ac:dyDescent="0.25">
      <c r="B20" t="s">
        <v>20</v>
      </c>
      <c r="C20" t="s">
        <v>20</v>
      </c>
      <c r="D20" t="s">
        <v>20</v>
      </c>
      <c r="E20" t="s">
        <v>20</v>
      </c>
    </row>
    <row r="21" spans="1:8" x14ac:dyDescent="0.25">
      <c r="B21" s="13">
        <v>920</v>
      </c>
      <c r="C21" s="13">
        <v>920</v>
      </c>
      <c r="D21" s="13">
        <v>400</v>
      </c>
      <c r="E21" s="13">
        <v>520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zoomScaleNormal="100" workbookViewId="0">
      <selection activeCell="B12" sqref="B12:D14"/>
    </sheetView>
  </sheetViews>
  <sheetFormatPr defaultRowHeight="15" x14ac:dyDescent="0.25"/>
  <sheetData>
    <row r="1" spans="1:7" x14ac:dyDescent="0.25">
      <c r="B1" s="21" t="s">
        <v>44</v>
      </c>
      <c r="C1" s="21" t="s">
        <v>42</v>
      </c>
      <c r="D1" s="21" t="s">
        <v>43</v>
      </c>
    </row>
    <row r="2" spans="1:7" x14ac:dyDescent="0.25">
      <c r="A2" s="21" t="s">
        <v>45</v>
      </c>
      <c r="B2" s="19">
        <v>1.5</v>
      </c>
      <c r="C2" s="19">
        <v>2.5</v>
      </c>
      <c r="D2" s="19">
        <v>3.5</v>
      </c>
    </row>
    <row r="3" spans="1:7" x14ac:dyDescent="0.25">
      <c r="A3" s="21" t="s">
        <v>46</v>
      </c>
      <c r="B3" s="19">
        <v>2.9</v>
      </c>
      <c r="C3" s="19">
        <v>3</v>
      </c>
      <c r="D3" s="19">
        <v>3.7</v>
      </c>
    </row>
    <row r="4" spans="1:7" x14ac:dyDescent="0.25">
      <c r="A4" s="21" t="s">
        <v>47</v>
      </c>
      <c r="B4" s="19">
        <v>2</v>
      </c>
      <c r="C4" s="19">
        <v>1.8</v>
      </c>
      <c r="D4" s="19">
        <v>4</v>
      </c>
    </row>
    <row r="7" spans="1:7" x14ac:dyDescent="0.25">
      <c r="G7">
        <f>SUMPRODUCT(B12:D14,B2:D4)</f>
        <v>7</v>
      </c>
    </row>
    <row r="11" spans="1:7" x14ac:dyDescent="0.25">
      <c r="B11" s="21" t="s">
        <v>44</v>
      </c>
      <c r="C11" s="21" t="s">
        <v>42</v>
      </c>
      <c r="D11" s="21" t="s">
        <v>43</v>
      </c>
    </row>
    <row r="12" spans="1:7" x14ac:dyDescent="0.25">
      <c r="A12" s="21" t="s">
        <v>45</v>
      </c>
      <c r="B12" s="19">
        <v>1</v>
      </c>
      <c r="C12" s="19">
        <v>0</v>
      </c>
      <c r="D12" s="19">
        <v>0</v>
      </c>
      <c r="E12" s="20">
        <f>SUM(B12:D12)</f>
        <v>1</v>
      </c>
      <c r="F12" t="s">
        <v>20</v>
      </c>
      <c r="G12" s="1">
        <v>1</v>
      </c>
    </row>
    <row r="13" spans="1:7" x14ac:dyDescent="0.25">
      <c r="A13" s="21" t="s">
        <v>46</v>
      </c>
      <c r="B13" s="19">
        <v>0</v>
      </c>
      <c r="C13" s="19">
        <v>0</v>
      </c>
      <c r="D13" s="19">
        <v>1</v>
      </c>
      <c r="E13" s="20">
        <f t="shared" ref="E13:E14" si="0">SUM(B13:D13)</f>
        <v>1</v>
      </c>
      <c r="F13" t="s">
        <v>20</v>
      </c>
      <c r="G13" s="1">
        <v>1</v>
      </c>
    </row>
    <row r="14" spans="1:7" x14ac:dyDescent="0.25">
      <c r="A14" s="21" t="s">
        <v>47</v>
      </c>
      <c r="B14" s="19">
        <v>0</v>
      </c>
      <c r="C14" s="19">
        <v>1</v>
      </c>
      <c r="D14" s="19">
        <v>0</v>
      </c>
      <c r="E14" s="20">
        <f t="shared" si="0"/>
        <v>1</v>
      </c>
      <c r="F14" t="s">
        <v>20</v>
      </c>
      <c r="G14" s="1">
        <v>1</v>
      </c>
    </row>
    <row r="15" spans="1:7" x14ac:dyDescent="0.25">
      <c r="B15" s="20">
        <f>SUM(B12:B14)</f>
        <v>1</v>
      </c>
      <c r="C15" s="20">
        <f t="shared" ref="C15:D15" si="1">SUM(C12:C14)</f>
        <v>1</v>
      </c>
      <c r="D15" s="20">
        <f t="shared" si="1"/>
        <v>1</v>
      </c>
    </row>
    <row r="16" spans="1:7" x14ac:dyDescent="0.25">
      <c r="B16" t="s">
        <v>20</v>
      </c>
      <c r="C16" t="s">
        <v>20</v>
      </c>
      <c r="D16" t="s">
        <v>20</v>
      </c>
    </row>
    <row r="17" spans="2:4" x14ac:dyDescent="0.25">
      <c r="B17" s="1">
        <v>1</v>
      </c>
      <c r="C17" s="1">
        <v>1</v>
      </c>
      <c r="D17" s="1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activeCell="H6" sqref="H6"/>
    </sheetView>
  </sheetViews>
  <sheetFormatPr defaultRowHeight="15" x14ac:dyDescent="0.25"/>
  <sheetData>
    <row r="1" spans="1:8" x14ac:dyDescent="0.25">
      <c r="A1" s="1"/>
      <c r="B1" s="1" t="s">
        <v>48</v>
      </c>
      <c r="C1" s="1" t="s">
        <v>49</v>
      </c>
      <c r="D1" s="1" t="s">
        <v>50</v>
      </c>
      <c r="E1" s="1" t="s">
        <v>51</v>
      </c>
    </row>
    <row r="2" spans="1:8" x14ac:dyDescent="0.25">
      <c r="A2" s="1" t="s">
        <v>52</v>
      </c>
      <c r="B2" s="19">
        <v>5</v>
      </c>
      <c r="C2" s="19">
        <v>3</v>
      </c>
      <c r="D2" s="19">
        <v>10</v>
      </c>
      <c r="E2" s="19">
        <v>10</v>
      </c>
    </row>
    <row r="3" spans="1:8" x14ac:dyDescent="0.25">
      <c r="A3" s="1" t="s">
        <v>53</v>
      </c>
      <c r="B3" s="19">
        <v>6</v>
      </c>
      <c r="C3" s="19">
        <v>8</v>
      </c>
      <c r="D3" s="19">
        <v>4</v>
      </c>
      <c r="E3" s="19">
        <v>7</v>
      </c>
    </row>
    <row r="4" spans="1:8" x14ac:dyDescent="0.25">
      <c r="A4" s="1" t="s">
        <v>54</v>
      </c>
      <c r="B4" s="19">
        <v>7</v>
      </c>
      <c r="C4" s="19">
        <v>4</v>
      </c>
      <c r="D4" s="19">
        <v>9</v>
      </c>
      <c r="E4" s="19">
        <v>6</v>
      </c>
    </row>
    <row r="5" spans="1:8" x14ac:dyDescent="0.25">
      <c r="A5" s="1" t="s">
        <v>55</v>
      </c>
      <c r="B5" s="19">
        <v>7</v>
      </c>
      <c r="C5" s="19">
        <v>5</v>
      </c>
      <c r="D5" s="19">
        <v>3</v>
      </c>
      <c r="E5" s="19">
        <v>8</v>
      </c>
      <c r="H5" t="s">
        <v>56</v>
      </c>
    </row>
    <row r="6" spans="1:8" x14ac:dyDescent="0.25">
      <c r="H6">
        <f>SUMPRODUCT(B2:E5,B9:E12)</f>
        <v>34</v>
      </c>
    </row>
    <row r="8" spans="1:8" x14ac:dyDescent="0.25">
      <c r="A8" s="1"/>
      <c r="B8" s="1" t="s">
        <v>48</v>
      </c>
      <c r="C8" s="1" t="s">
        <v>49</v>
      </c>
      <c r="D8" s="1" t="s">
        <v>50</v>
      </c>
      <c r="E8" s="1" t="s">
        <v>51</v>
      </c>
    </row>
    <row r="9" spans="1:8" x14ac:dyDescent="0.25">
      <c r="A9" s="1" t="s">
        <v>52</v>
      </c>
      <c r="B9" s="1">
        <v>0</v>
      </c>
      <c r="C9" s="1">
        <v>0</v>
      </c>
      <c r="D9" s="1">
        <v>0</v>
      </c>
      <c r="E9" s="1">
        <v>1</v>
      </c>
      <c r="F9" s="6">
        <f>SUM(B9:E9)</f>
        <v>1</v>
      </c>
      <c r="G9" t="s">
        <v>20</v>
      </c>
      <c r="H9" s="1">
        <v>1</v>
      </c>
    </row>
    <row r="10" spans="1:8" x14ac:dyDescent="0.25">
      <c r="A10" s="1" t="s">
        <v>53</v>
      </c>
      <c r="B10" s="1">
        <v>0</v>
      </c>
      <c r="C10" s="1">
        <v>1</v>
      </c>
      <c r="D10" s="1">
        <v>0</v>
      </c>
      <c r="E10" s="1">
        <v>0</v>
      </c>
      <c r="F10" s="6">
        <f t="shared" ref="F10:F12" si="0">SUM(B10:E10)</f>
        <v>1</v>
      </c>
      <c r="G10" t="s">
        <v>20</v>
      </c>
      <c r="H10" s="1">
        <v>1</v>
      </c>
    </row>
    <row r="11" spans="1:8" x14ac:dyDescent="0.25">
      <c r="A11" s="1" t="s">
        <v>54</v>
      </c>
      <c r="B11" s="1">
        <v>0</v>
      </c>
      <c r="C11" s="1">
        <v>0</v>
      </c>
      <c r="D11" s="1">
        <v>1</v>
      </c>
      <c r="E11" s="1">
        <v>0</v>
      </c>
      <c r="F11" s="6">
        <f t="shared" si="0"/>
        <v>1</v>
      </c>
      <c r="G11" t="s">
        <v>20</v>
      </c>
      <c r="H11" s="1">
        <v>1</v>
      </c>
    </row>
    <row r="12" spans="1:8" x14ac:dyDescent="0.25">
      <c r="A12" s="1" t="s">
        <v>55</v>
      </c>
      <c r="B12" s="1">
        <v>1</v>
      </c>
      <c r="C12" s="1">
        <v>0</v>
      </c>
      <c r="D12" s="1">
        <v>0</v>
      </c>
      <c r="E12" s="1">
        <v>0</v>
      </c>
      <c r="F12" s="6">
        <f t="shared" si="0"/>
        <v>1</v>
      </c>
      <c r="G12" t="s">
        <v>20</v>
      </c>
      <c r="H12" s="1">
        <v>1</v>
      </c>
    </row>
    <row r="13" spans="1:8" x14ac:dyDescent="0.25">
      <c r="B13" s="6">
        <f>SUM(B9:B12)</f>
        <v>1</v>
      </c>
      <c r="C13" s="6">
        <f t="shared" ref="C13:E13" si="1">SUM(C9:C12)</f>
        <v>1</v>
      </c>
      <c r="D13" s="6">
        <f t="shared" si="1"/>
        <v>1</v>
      </c>
      <c r="E13" s="6">
        <f t="shared" si="1"/>
        <v>1</v>
      </c>
    </row>
    <row r="14" spans="1:8" x14ac:dyDescent="0.25">
      <c r="B14" t="s">
        <v>20</v>
      </c>
      <c r="C14" t="s">
        <v>20</v>
      </c>
      <c r="D14" t="s">
        <v>20</v>
      </c>
      <c r="E14" t="s">
        <v>20</v>
      </c>
    </row>
    <row r="15" spans="1:8" x14ac:dyDescent="0.25">
      <c r="B15" s="1">
        <v>1</v>
      </c>
      <c r="C15" s="1">
        <v>1</v>
      </c>
      <c r="D15" s="1">
        <v>1</v>
      </c>
      <c r="E15" s="1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Laboratorios - W7 - Fatec Mauá</dc:creator>
  <cp:lastModifiedBy>nilton dionisio guerra</cp:lastModifiedBy>
  <dcterms:created xsi:type="dcterms:W3CDTF">2023-05-03T22:42:56Z</dcterms:created>
  <dcterms:modified xsi:type="dcterms:W3CDTF">2023-05-31T00:46:12Z</dcterms:modified>
</cp:coreProperties>
</file>