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tecspgov-my.sharepoint.com/personal/nilton_guerra_fatec_sp_gov_br/Documents/3semestre/álgebra  linear/"/>
    </mc:Choice>
  </mc:AlternateContent>
  <xr:revisionPtr revIDLastSave="255" documentId="8_{556CD9D0-E440-472D-B612-6CB8024AAF19}" xr6:coauthVersionLast="47" xr6:coauthVersionMax="47" xr10:uidLastSave="{2B7413FB-7E7C-48BE-B80D-01434A5BA5AE}"/>
  <bookViews>
    <workbookView xWindow="21480" yWindow="1860" windowWidth="20730" windowHeight="11040" activeTab="1" xr2:uid="{0552A3B2-BC14-449B-9F15-787E2B75F0E0}"/>
  </bookViews>
  <sheets>
    <sheet name="Planilha1" sheetId="1" r:id="rId1"/>
    <sheet name="Planilha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Q9" i="2"/>
  <c r="O22" i="2"/>
  <c r="K21" i="2"/>
  <c r="K20" i="2"/>
  <c r="K19" i="2"/>
  <c r="K18" i="2"/>
  <c r="K17" i="2"/>
  <c r="K16" i="2"/>
  <c r="K15" i="2"/>
  <c r="J16" i="2"/>
  <c r="J17" i="2" s="1"/>
  <c r="J18" i="2" s="1"/>
  <c r="J19" i="2" s="1"/>
  <c r="J20" i="2" s="1"/>
  <c r="J21" i="2" s="1"/>
  <c r="I15" i="2"/>
  <c r="I17" i="2"/>
  <c r="I18" i="2"/>
  <c r="I19" i="2"/>
  <c r="I20" i="2" s="1"/>
  <c r="I21" i="2" s="1"/>
  <c r="I16" i="2"/>
  <c r="H22" i="2"/>
  <c r="I10" i="2"/>
  <c r="I3" i="2"/>
  <c r="I4" i="2"/>
  <c r="I5" i="2"/>
  <c r="I6" i="2"/>
  <c r="I7" i="2"/>
  <c r="I8" i="2"/>
  <c r="I9" i="2"/>
  <c r="M3" i="2"/>
  <c r="M10" i="2" s="1"/>
  <c r="L9" i="2"/>
  <c r="Q7" i="2"/>
  <c r="H3" i="2"/>
  <c r="J3" i="2" s="1"/>
  <c r="H4" i="2"/>
  <c r="H5" i="2"/>
  <c r="M5" i="2" s="1"/>
  <c r="H6" i="2"/>
  <c r="M6" i="2" s="1"/>
  <c r="H7" i="2"/>
  <c r="M7" i="2" s="1"/>
  <c r="H8" i="2"/>
  <c r="H9" i="2"/>
  <c r="L5" i="2"/>
  <c r="L6" i="2" s="1"/>
  <c r="L7" i="2" s="1"/>
  <c r="L8" i="2" s="1"/>
  <c r="L4" i="2"/>
  <c r="Q6" i="2"/>
  <c r="Q2" i="2"/>
  <c r="C15" i="1"/>
  <c r="D15" i="1"/>
  <c r="I13" i="1"/>
  <c r="I12" i="1"/>
  <c r="I11" i="1"/>
  <c r="I10" i="1"/>
  <c r="I9" i="1"/>
  <c r="E10" i="1"/>
  <c r="E11" i="1"/>
  <c r="E12" i="1"/>
  <c r="E13" i="1"/>
  <c r="E14" i="1"/>
  <c r="D2" i="1"/>
  <c r="E2" i="1"/>
  <c r="F2" i="1" s="1"/>
  <c r="E3" i="1"/>
  <c r="F3" i="1" s="1"/>
  <c r="E5" i="1"/>
  <c r="F4" i="1" s="1"/>
  <c r="E4" i="1"/>
  <c r="D6" i="1"/>
  <c r="D3" i="1"/>
  <c r="D4" i="1"/>
  <c r="D5" i="1"/>
  <c r="K22" i="2" l="1"/>
  <c r="J4" i="2"/>
  <c r="M4" i="2"/>
  <c r="J5" i="2"/>
  <c r="J6" i="2"/>
  <c r="J7" i="2"/>
  <c r="J8" i="2"/>
  <c r="M8" i="2"/>
  <c r="J9" i="2"/>
  <c r="H10" i="2"/>
  <c r="I14" i="1"/>
  <c r="F5" i="1"/>
  <c r="K4" i="2" l="1"/>
  <c r="K3" i="2"/>
  <c r="K9" i="2"/>
  <c r="K8" i="2"/>
  <c r="K7" i="2"/>
  <c r="K6" i="2"/>
  <c r="K5" i="2"/>
</calcChain>
</file>

<file path=xl/sharedStrings.xml><?xml version="1.0" encoding="utf-8"?>
<sst xmlns="http://schemas.openxmlformats.org/spreadsheetml/2006/main" count="58" uniqueCount="40">
  <si>
    <t>i</t>
  </si>
  <si>
    <t>xi</t>
  </si>
  <si>
    <t>fi</t>
  </si>
  <si>
    <t>fr</t>
  </si>
  <si>
    <t>Fi</t>
  </si>
  <si>
    <t>pmi</t>
  </si>
  <si>
    <t>xi.pi</t>
  </si>
  <si>
    <t>Rol=</t>
  </si>
  <si>
    <t>Fri</t>
  </si>
  <si>
    <t xml:space="preserve">TI </t>
  </si>
  <si>
    <t>(h)</t>
  </si>
  <si>
    <t>pmi.fi</t>
  </si>
  <si>
    <t>AT=</t>
  </si>
  <si>
    <t>k(nº classes)=</t>
  </si>
  <si>
    <t>h=</t>
  </si>
  <si>
    <t>2|--4</t>
  </si>
  <si>
    <t>4|--6</t>
  </si>
  <si>
    <t>6|--8</t>
  </si>
  <si>
    <t>8|--10</t>
  </si>
  <si>
    <t>10|--12</t>
  </si>
  <si>
    <t>12|--14</t>
  </si>
  <si>
    <t>14|--16</t>
  </si>
  <si>
    <t>Máximo</t>
  </si>
  <si>
    <t>Mínimo</t>
  </si>
  <si>
    <t xml:space="preserve">horas no computador </t>
  </si>
  <si>
    <t>pessoas intrevistadas</t>
  </si>
  <si>
    <t>fi=</t>
  </si>
  <si>
    <t>xi=</t>
  </si>
  <si>
    <t>Media da tabela=</t>
  </si>
  <si>
    <t>fri(%)</t>
  </si>
  <si>
    <t>horas</t>
  </si>
  <si>
    <t>% de duração das baterias dos notebooks</t>
  </si>
  <si>
    <t>2|--3</t>
  </si>
  <si>
    <t>3|--4</t>
  </si>
  <si>
    <t>4|--5</t>
  </si>
  <si>
    <t>5|--6</t>
  </si>
  <si>
    <t>6|--7</t>
  </si>
  <si>
    <t>7|--8</t>
  </si>
  <si>
    <t>8|--9</t>
  </si>
  <si>
    <t>media da tabela=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</si>
</sst>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9" fontId="0" fillId="0" borderId="1" xfId="0" applyNumberFormat="1" applyBorder="1"/>
    <xf numFmtId="9" fontId="0" fillId="0" borderId="3" xfId="0" applyNumberFormat="1" applyBorder="1"/>
    <xf numFmtId="0" fontId="0" fillId="2" borderId="4" xfId="0" applyFill="1" applyBorder="1"/>
    <xf numFmtId="0" fontId="0" fillId="2" borderId="2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9" fontId="0" fillId="0" borderId="0" xfId="0" applyNumberFormat="1"/>
    <xf numFmtId="0" fontId="1" fillId="0" borderId="1" xfId="0" applyFont="1" applyBorder="1"/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Planilha2!$M$2</c:f>
              <c:strCache>
                <c:ptCount val="1"/>
                <c:pt idx="0">
                  <c:v>pmi.fi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Planilha2!$L$3:$L$9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</c:numCache>
            </c:numRef>
          </c:xVal>
          <c:yVal>
            <c:numRef>
              <c:f>Planilha2!$M$3:$M$9</c:f>
              <c:numCache>
                <c:formatCode>General</c:formatCode>
                <c:ptCount val="7"/>
                <c:pt idx="0">
                  <c:v>2</c:v>
                </c:pt>
                <c:pt idx="1">
                  <c:v>15</c:v>
                </c:pt>
                <c:pt idx="2">
                  <c:v>45</c:v>
                </c:pt>
                <c:pt idx="3">
                  <c:v>105</c:v>
                </c:pt>
                <c:pt idx="4">
                  <c:v>90</c:v>
                </c:pt>
                <c:pt idx="5">
                  <c:v>66</c:v>
                </c:pt>
                <c:pt idx="6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A0-4106-AC25-27D26F1FA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331200"/>
        <c:axId val="1100143792"/>
      </c:scatterChart>
      <c:valAx>
        <c:axId val="963331200"/>
        <c:scaling>
          <c:orientation val="minMax"/>
          <c:max val="13"/>
          <c:min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143792"/>
        <c:crosses val="autoZero"/>
        <c:crossBetween val="midCat"/>
      </c:valAx>
      <c:valAx>
        <c:axId val="110014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331200"/>
        <c:crosses val="autoZero"/>
        <c:crossBetween val="midCat"/>
        <c:majorUnit val="1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250032</xdr:colOff>
      <xdr:row>0</xdr:row>
      <xdr:rowOff>39289</xdr:rowOff>
    </xdr:from>
    <xdr:to>
      <xdr:col>24</xdr:col>
      <xdr:colOff>571500</xdr:colOff>
      <xdr:row>11</xdr:row>
      <xdr:rowOff>163114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E3E7D4-24DA-1324-8D46-E03CCD178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D370-B272-40EE-8DD9-C96F42F9C784}">
  <dimension ref="A1:I23"/>
  <sheetViews>
    <sheetView topLeftCell="A7" zoomScale="145" zoomScaleNormal="145" workbookViewId="0">
      <selection activeCell="B12" sqref="B12"/>
    </sheetView>
  </sheetViews>
  <sheetFormatPr defaultRowHeight="15" x14ac:dyDescent="0.25"/>
  <cols>
    <col min="4" max="4" width="1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5</v>
      </c>
      <c r="H1" s="1" t="s">
        <v>6</v>
      </c>
    </row>
    <row r="2" spans="1:9" x14ac:dyDescent="0.25">
      <c r="A2" s="1">
        <v>1</v>
      </c>
      <c r="B2" s="1">
        <v>0</v>
      </c>
      <c r="C2" s="1">
        <v>12</v>
      </c>
      <c r="D2" s="1" t="str">
        <f>(C2/$C$6)*100 &amp; "%"</f>
        <v>24%</v>
      </c>
      <c r="E2" s="1">
        <f>C2</f>
        <v>12</v>
      </c>
      <c r="F2" s="1" t="str">
        <f>(E2/$E$5)*100 &amp; "%"</f>
        <v>24%</v>
      </c>
      <c r="G2" s="1"/>
      <c r="H2" s="1"/>
    </row>
    <row r="3" spans="1:9" x14ac:dyDescent="0.25">
      <c r="A3" s="1">
        <v>2</v>
      </c>
      <c r="B3" s="1">
        <v>1</v>
      </c>
      <c r="C3" s="1">
        <v>15</v>
      </c>
      <c r="D3" s="1" t="str">
        <f t="shared" ref="D3:D5" si="0">(C3/$C$6)*100 &amp; "%"</f>
        <v>30%</v>
      </c>
      <c r="E3" s="1">
        <f>SUM(C2:C3)</f>
        <v>27</v>
      </c>
      <c r="F3" s="1" t="str">
        <f t="shared" ref="F3:F5" si="1">(E3/$E$5)*100 &amp; "%"</f>
        <v>54%</v>
      </c>
      <c r="G3" s="1"/>
      <c r="H3" s="1"/>
    </row>
    <row r="4" spans="1:9" x14ac:dyDescent="0.25">
      <c r="A4" s="1">
        <v>3</v>
      </c>
      <c r="B4" s="1">
        <v>2</v>
      </c>
      <c r="C4" s="1">
        <v>19</v>
      </c>
      <c r="D4" s="1" t="str">
        <f t="shared" si="0"/>
        <v>38%</v>
      </c>
      <c r="E4" s="1">
        <f>SUM(C2:C4)</f>
        <v>46</v>
      </c>
      <c r="F4" s="1" t="str">
        <f t="shared" si="1"/>
        <v>92%</v>
      </c>
      <c r="G4" s="1"/>
      <c r="H4" s="1"/>
    </row>
    <row r="5" spans="1:9" x14ac:dyDescent="0.25">
      <c r="A5" s="1">
        <v>4</v>
      </c>
      <c r="B5" s="1">
        <v>3</v>
      </c>
      <c r="C5" s="1">
        <v>4</v>
      </c>
      <c r="D5" s="1" t="str">
        <f t="shared" si="0"/>
        <v>8%</v>
      </c>
      <c r="E5" s="1">
        <f>SUM(C2:C5)</f>
        <v>50</v>
      </c>
      <c r="F5" s="1" t="str">
        <f t="shared" si="1"/>
        <v>100%</v>
      </c>
      <c r="G5" s="1"/>
      <c r="H5" s="1"/>
    </row>
    <row r="6" spans="1:9" x14ac:dyDescent="0.25">
      <c r="A6" s="1"/>
      <c r="B6" s="1"/>
      <c r="C6" s="1">
        <v>50</v>
      </c>
      <c r="D6" s="1" t="str">
        <f>(C6/$C$6)*100 &amp; "%"</f>
        <v>100%</v>
      </c>
      <c r="E6" s="1"/>
      <c r="F6" s="1"/>
      <c r="G6" s="1"/>
      <c r="H6" s="1"/>
    </row>
    <row r="9" spans="1:9" x14ac:dyDescent="0.25">
      <c r="A9" s="1" t="s">
        <v>0</v>
      </c>
      <c r="B9" s="1" t="s">
        <v>1</v>
      </c>
      <c r="C9" s="1" t="s">
        <v>2</v>
      </c>
      <c r="D9" s="1" t="s">
        <v>3</v>
      </c>
      <c r="E9" s="12" t="s">
        <v>4</v>
      </c>
      <c r="F9" s="2" t="s">
        <v>8</v>
      </c>
      <c r="G9" s="3"/>
      <c r="H9" s="7"/>
      <c r="I9" s="10">
        <f>(B10*C10)</f>
        <v>0</v>
      </c>
    </row>
    <row r="10" spans="1:9" x14ac:dyDescent="0.25">
      <c r="A10" s="13">
        <v>1</v>
      </c>
      <c r="B10" s="1">
        <v>0</v>
      </c>
      <c r="C10" s="1">
        <v>6</v>
      </c>
      <c r="D10" s="4">
        <v>0.1</v>
      </c>
      <c r="E10" s="12">
        <f>SUM(C10)</f>
        <v>6</v>
      </c>
      <c r="F10" s="5">
        <v>0.1</v>
      </c>
      <c r="G10" s="3"/>
      <c r="H10" s="6"/>
      <c r="I10" s="10">
        <f>(B11*C11)</f>
        <v>18</v>
      </c>
    </row>
    <row r="11" spans="1:9" x14ac:dyDescent="0.25">
      <c r="A11" s="13">
        <v>2</v>
      </c>
      <c r="B11" s="1">
        <v>1</v>
      </c>
      <c r="C11" s="1">
        <v>18</v>
      </c>
      <c r="D11" s="4">
        <v>0.3</v>
      </c>
      <c r="E11" s="12">
        <f>SUM(C10:C11)</f>
        <v>24</v>
      </c>
      <c r="F11" s="5">
        <v>0.4</v>
      </c>
      <c r="G11" s="3"/>
      <c r="H11" s="6"/>
      <c r="I11" s="10">
        <f>(B12*C12)</f>
        <v>30</v>
      </c>
    </row>
    <row r="12" spans="1:9" x14ac:dyDescent="0.25">
      <c r="A12" s="13">
        <v>3</v>
      </c>
      <c r="B12" s="1">
        <v>2</v>
      </c>
      <c r="C12" s="1">
        <v>15</v>
      </c>
      <c r="D12" s="4">
        <v>0.25</v>
      </c>
      <c r="E12" s="12">
        <f>SUM(C10:C12)</f>
        <v>39</v>
      </c>
      <c r="F12" s="5">
        <v>0.65</v>
      </c>
      <c r="G12" s="3"/>
      <c r="H12" s="6"/>
      <c r="I12" s="10">
        <f>(B13*C13)</f>
        <v>36</v>
      </c>
    </row>
    <row r="13" spans="1:9" x14ac:dyDescent="0.25">
      <c r="A13" s="13">
        <v>4</v>
      </c>
      <c r="B13" s="1">
        <v>3</v>
      </c>
      <c r="C13" s="1">
        <v>12</v>
      </c>
      <c r="D13" s="4">
        <v>0.2</v>
      </c>
      <c r="E13" s="12">
        <f>SUM(C10:C13)</f>
        <v>51</v>
      </c>
      <c r="F13" s="5">
        <v>0.85</v>
      </c>
      <c r="G13" s="3"/>
      <c r="H13" s="6"/>
      <c r="I13" s="10">
        <f>(B14*C14)</f>
        <v>45</v>
      </c>
    </row>
    <row r="14" spans="1:9" x14ac:dyDescent="0.25">
      <c r="A14" s="13">
        <v>5</v>
      </c>
      <c r="B14" s="1">
        <v>5</v>
      </c>
      <c r="C14" s="1">
        <v>9</v>
      </c>
      <c r="D14" s="4">
        <v>0.15</v>
      </c>
      <c r="E14" s="12">
        <f>SUM(C10:C14)</f>
        <v>60</v>
      </c>
      <c r="F14" s="5">
        <v>1</v>
      </c>
      <c r="G14" s="3"/>
      <c r="H14" s="8" t="s">
        <v>7</v>
      </c>
      <c r="I14" s="9">
        <f>SUM(I9:I13)/C15</f>
        <v>2.15</v>
      </c>
    </row>
    <row r="15" spans="1:9" x14ac:dyDescent="0.25">
      <c r="C15">
        <f>SUM(C10:C14)</f>
        <v>60</v>
      </c>
      <c r="D15" s="11">
        <f>SUM(D10:D14)</f>
        <v>1</v>
      </c>
    </row>
    <row r="18" spans="4:6" x14ac:dyDescent="0.25">
      <c r="D18" s="11"/>
      <c r="F18" s="11"/>
    </row>
    <row r="19" spans="4:6" x14ac:dyDescent="0.25">
      <c r="D19" s="11"/>
      <c r="F19" s="11"/>
    </row>
    <row r="20" spans="4:6" x14ac:dyDescent="0.25">
      <c r="D20" s="11"/>
      <c r="F20" s="11"/>
    </row>
    <row r="21" spans="4:6" x14ac:dyDescent="0.25">
      <c r="D21" s="11"/>
      <c r="F21" s="11"/>
    </row>
    <row r="22" spans="4:6" x14ac:dyDescent="0.25">
      <c r="D22" s="11"/>
      <c r="F22" s="11"/>
    </row>
    <row r="23" spans="4:6" x14ac:dyDescent="0.25">
      <c r="D23" s="1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D44C-C809-47C9-A589-770EB4DFE6EF}">
  <dimension ref="A1:Q53"/>
  <sheetViews>
    <sheetView tabSelected="1" topLeftCell="C1" zoomScale="115" zoomScaleNormal="115" workbookViewId="0">
      <selection activeCell="M3" sqref="M3"/>
    </sheetView>
  </sheetViews>
  <sheetFormatPr defaultRowHeight="15" x14ac:dyDescent="0.25"/>
  <cols>
    <col min="3" max="3" width="20.5703125" bestFit="1" customWidth="1"/>
    <col min="4" max="5" width="0" hidden="1" customWidth="1"/>
    <col min="16" max="16" width="16.28515625" bestFit="1" customWidth="1"/>
  </cols>
  <sheetData>
    <row r="1" spans="1:17" ht="18.75" x14ac:dyDescent="0.3">
      <c r="A1" s="14"/>
      <c r="B1" t="s">
        <v>27</v>
      </c>
      <c r="C1" t="s">
        <v>24</v>
      </c>
    </row>
    <row r="2" spans="1:17" ht="18.75" x14ac:dyDescent="0.25">
      <c r="A2" s="15" t="s">
        <v>9</v>
      </c>
      <c r="B2" t="s">
        <v>26</v>
      </c>
      <c r="C2" t="s">
        <v>25</v>
      </c>
      <c r="F2" s="1" t="s">
        <v>0</v>
      </c>
      <c r="G2" s="1" t="s">
        <v>1</v>
      </c>
      <c r="H2" s="1" t="s">
        <v>2</v>
      </c>
      <c r="I2" s="1" t="s">
        <v>29</v>
      </c>
      <c r="J2" s="1" t="s">
        <v>4</v>
      </c>
      <c r="K2" s="1" t="s">
        <v>8</v>
      </c>
      <c r="L2" s="1" t="s">
        <v>5</v>
      </c>
      <c r="M2" s="1" t="s">
        <v>11</v>
      </c>
      <c r="P2" t="s">
        <v>12</v>
      </c>
      <c r="Q2">
        <f>MAX(A4:A53)-MIN(A4:A53)</f>
        <v>13.8</v>
      </c>
    </row>
    <row r="3" spans="1:17" ht="18.75" x14ac:dyDescent="0.3">
      <c r="A3" s="14" t="s">
        <v>10</v>
      </c>
      <c r="F3" s="13">
        <v>1</v>
      </c>
      <c r="G3" s="1" t="s">
        <v>15</v>
      </c>
      <c r="H3" s="18">
        <f>COUNTIFS($A$4:$A$53, "&gt;=2", $A$4:$A$53, "&lt;4")</f>
        <v>2</v>
      </c>
      <c r="I3" s="18">
        <f>(H3/$H$10)*100</f>
        <v>4</v>
      </c>
      <c r="J3" s="18">
        <f>SUM(H3)</f>
        <v>2</v>
      </c>
      <c r="K3" s="18" t="str">
        <f>(J3/$J$9)*100 &amp; "%"</f>
        <v>4%</v>
      </c>
      <c r="L3" s="18">
        <v>1</v>
      </c>
      <c r="M3" s="1">
        <f>L3*H3</f>
        <v>2</v>
      </c>
      <c r="P3" t="s">
        <v>13</v>
      </c>
      <c r="Q3">
        <v>7.07</v>
      </c>
    </row>
    <row r="4" spans="1:17" ht="18.75" x14ac:dyDescent="0.25">
      <c r="A4" s="16">
        <v>6.3</v>
      </c>
      <c r="F4" s="13">
        <v>2</v>
      </c>
      <c r="G4" s="1" t="s">
        <v>16</v>
      </c>
      <c r="H4" s="18">
        <f>COUNTIFS($A$4:$A$53, "&gt;=4", $A$4:$A$53, "&lt;6")</f>
        <v>5</v>
      </c>
      <c r="I4" s="18">
        <f>(H4/$H$10)*100</f>
        <v>10</v>
      </c>
      <c r="J4" s="18">
        <f>SUM(H3:H4)</f>
        <v>7</v>
      </c>
      <c r="K4" s="18" t="str">
        <f t="shared" ref="K4:K9" si="0">(J4/$J$9)*100 &amp; "%"</f>
        <v>14%</v>
      </c>
      <c r="L4" s="18">
        <f>L3+2</f>
        <v>3</v>
      </c>
      <c r="M4" s="1">
        <f t="shared" ref="M4:M9" si="1">L4*H4</f>
        <v>15</v>
      </c>
      <c r="P4" t="s">
        <v>14</v>
      </c>
      <c r="Q4">
        <v>1.95</v>
      </c>
    </row>
    <row r="5" spans="1:17" ht="18.75" x14ac:dyDescent="0.3">
      <c r="A5" s="17">
        <v>8.8000000000000007</v>
      </c>
      <c r="F5" s="13">
        <v>3</v>
      </c>
      <c r="G5" s="1" t="s">
        <v>17</v>
      </c>
      <c r="H5" s="18">
        <f>COUNTIFS($A$4:$A$53, "&gt;=6", $A$4:$A$53, "&lt;8")</f>
        <v>9</v>
      </c>
      <c r="I5" s="18">
        <f>(H5/$H$10)*100</f>
        <v>18</v>
      </c>
      <c r="J5" s="18">
        <f>SUM(H3:H5)</f>
        <v>16</v>
      </c>
      <c r="K5" s="18" t="str">
        <f t="shared" si="0"/>
        <v>32%</v>
      </c>
      <c r="L5" s="18">
        <f t="shared" ref="L5:L9" si="2">L4+2</f>
        <v>5</v>
      </c>
      <c r="M5" s="1">
        <f t="shared" si="1"/>
        <v>45</v>
      </c>
    </row>
    <row r="6" spans="1:17" ht="18.75" x14ac:dyDescent="0.3">
      <c r="A6" s="17">
        <v>9.1999999999999993</v>
      </c>
      <c r="F6" s="13">
        <v>4</v>
      </c>
      <c r="G6" s="1" t="s">
        <v>18</v>
      </c>
      <c r="H6" s="18">
        <f>COUNTIFS($A$4:$A$53, "&gt;=8", $A$4:$A$53, "&lt;10")</f>
        <v>15</v>
      </c>
      <c r="I6" s="19">
        <f>(H6/$H$10)*100</f>
        <v>30</v>
      </c>
      <c r="J6" s="18">
        <f>SUM(H3:H6)</f>
        <v>31</v>
      </c>
      <c r="K6" s="18" t="str">
        <f t="shared" si="0"/>
        <v>62%</v>
      </c>
      <c r="L6" s="18">
        <f t="shared" si="2"/>
        <v>7</v>
      </c>
      <c r="M6" s="1">
        <f t="shared" si="1"/>
        <v>105</v>
      </c>
      <c r="P6" t="s">
        <v>22</v>
      </c>
      <c r="Q6">
        <f>MAX(A4:A53)</f>
        <v>15.8</v>
      </c>
    </row>
    <row r="7" spans="1:17" ht="18.75" x14ac:dyDescent="0.3">
      <c r="A7" s="17">
        <v>13.5</v>
      </c>
      <c r="F7" s="13">
        <v>5</v>
      </c>
      <c r="G7" s="1" t="s">
        <v>19</v>
      </c>
      <c r="H7" s="18">
        <f>COUNTIFS($A$4:$A$53, "&gt;=10", $A$4:$A$53, "&lt;12")</f>
        <v>10</v>
      </c>
      <c r="I7" s="18">
        <f>(H7/$H$10)*100</f>
        <v>20</v>
      </c>
      <c r="J7" s="18">
        <f>SUM(H3:H7)</f>
        <v>41</v>
      </c>
      <c r="K7" s="18" t="str">
        <f t="shared" si="0"/>
        <v>82%</v>
      </c>
      <c r="L7" s="18">
        <f t="shared" si="2"/>
        <v>9</v>
      </c>
      <c r="M7" s="1">
        <f t="shared" si="1"/>
        <v>90</v>
      </c>
      <c r="P7" t="s">
        <v>23</v>
      </c>
      <c r="Q7">
        <f>MIN(A4:A53)</f>
        <v>2</v>
      </c>
    </row>
    <row r="8" spans="1:17" ht="18.75" x14ac:dyDescent="0.25">
      <c r="A8" s="16">
        <v>4</v>
      </c>
      <c r="F8" s="13">
        <v>6</v>
      </c>
      <c r="G8" s="1" t="s">
        <v>20</v>
      </c>
      <c r="H8" s="18">
        <f>COUNTIFS($A$4:$A$53, "&gt;=12", $A$4:$A$53, "&lt;14")</f>
        <v>6</v>
      </c>
      <c r="I8" s="18">
        <f>(H8/$H$10)*100</f>
        <v>12</v>
      </c>
      <c r="J8" s="18">
        <f>SUM(H3:H8)</f>
        <v>47</v>
      </c>
      <c r="K8" s="18" t="str">
        <f t="shared" si="0"/>
        <v>94%</v>
      </c>
      <c r="L8" s="18">
        <f t="shared" si="2"/>
        <v>11</v>
      </c>
      <c r="M8" s="1">
        <f t="shared" si="1"/>
        <v>66</v>
      </c>
    </row>
    <row r="9" spans="1:17" ht="18.75" x14ac:dyDescent="0.25">
      <c r="A9" s="16">
        <v>7.7</v>
      </c>
      <c r="F9" s="13">
        <v>7</v>
      </c>
      <c r="G9" s="1" t="s">
        <v>21</v>
      </c>
      <c r="H9" s="18">
        <f>COUNTIFS($A$4:$A$53, "&gt;=14", $A$4:$A$53, "&lt;16")</f>
        <v>3</v>
      </c>
      <c r="I9" s="18">
        <f>(H9/$H$10)*100</f>
        <v>6</v>
      </c>
      <c r="J9" s="18">
        <f>SUM(H3:H9)</f>
        <v>50</v>
      </c>
      <c r="K9" s="18" t="str">
        <f t="shared" si="0"/>
        <v>100%</v>
      </c>
      <c r="L9" s="18">
        <f>L8+2</f>
        <v>13</v>
      </c>
      <c r="M9" s="1">
        <f>L9*H9</f>
        <v>39</v>
      </c>
      <c r="P9" t="s">
        <v>28</v>
      </c>
      <c r="Q9">
        <f>M10/H10</f>
        <v>7.24</v>
      </c>
    </row>
    <row r="10" spans="1:17" ht="18.75" x14ac:dyDescent="0.25">
      <c r="A10" s="16">
        <v>4.8</v>
      </c>
      <c r="F10" s="1"/>
      <c r="G10" s="1"/>
      <c r="H10" s="18">
        <f>SUM(H3:H9)</f>
        <v>50</v>
      </c>
      <c r="I10" s="18" t="str">
        <f>SUM(I3:I9) &amp; "%"</f>
        <v>100%</v>
      </c>
      <c r="J10" s="18"/>
      <c r="K10" s="1"/>
      <c r="L10" s="1"/>
      <c r="M10" s="1">
        <f>SUM(M3:M9)</f>
        <v>362</v>
      </c>
    </row>
    <row r="11" spans="1:17" ht="18.75" x14ac:dyDescent="0.3">
      <c r="A11" s="17">
        <v>13</v>
      </c>
    </row>
    <row r="12" spans="1:17" ht="18.75" x14ac:dyDescent="0.3">
      <c r="A12" s="17">
        <v>8</v>
      </c>
    </row>
    <row r="13" spans="1:17" ht="18.75" x14ac:dyDescent="0.25">
      <c r="A13" s="16">
        <v>5.5</v>
      </c>
      <c r="G13" t="s">
        <v>30</v>
      </c>
      <c r="H13" t="s">
        <v>31</v>
      </c>
    </row>
    <row r="14" spans="1:17" ht="18.75" x14ac:dyDescent="0.25">
      <c r="A14" s="16">
        <v>2</v>
      </c>
      <c r="F14" s="1" t="s">
        <v>0</v>
      </c>
      <c r="G14" s="1" t="s">
        <v>1</v>
      </c>
      <c r="H14" s="1" t="s">
        <v>3</v>
      </c>
      <c r="I14" s="1" t="s">
        <v>8</v>
      </c>
      <c r="J14" s="1" t="s">
        <v>5</v>
      </c>
      <c r="K14" s="1" t="s">
        <v>11</v>
      </c>
    </row>
    <row r="15" spans="1:17" ht="18.75" x14ac:dyDescent="0.25">
      <c r="A15" s="16">
        <v>7.2</v>
      </c>
      <c r="F15" s="13">
        <v>1</v>
      </c>
      <c r="G15" t="s">
        <v>32</v>
      </c>
      <c r="H15">
        <v>2</v>
      </c>
      <c r="I15" s="18">
        <f>H15</f>
        <v>2</v>
      </c>
      <c r="J15" s="18">
        <v>2.5</v>
      </c>
      <c r="K15" s="1">
        <f>J15*H15</f>
        <v>5</v>
      </c>
    </row>
    <row r="16" spans="1:17" ht="18.75" x14ac:dyDescent="0.25">
      <c r="A16" s="16">
        <v>6</v>
      </c>
      <c r="F16" s="13">
        <v>2</v>
      </c>
      <c r="G16" t="s">
        <v>33</v>
      </c>
      <c r="H16">
        <v>7</v>
      </c>
      <c r="I16" s="18">
        <f>I15+H16</f>
        <v>9</v>
      </c>
      <c r="J16" s="18">
        <f>J15+1</f>
        <v>3.5</v>
      </c>
      <c r="K16" s="1">
        <f>J16*H16</f>
        <v>24.5</v>
      </c>
    </row>
    <row r="17" spans="1:15" ht="18.75" x14ac:dyDescent="0.3">
      <c r="A17" s="17">
        <v>12.5</v>
      </c>
      <c r="F17" s="13">
        <v>3</v>
      </c>
      <c r="G17" t="s">
        <v>34</v>
      </c>
      <c r="H17">
        <v>20</v>
      </c>
      <c r="I17" s="18">
        <f t="shared" ref="I17:I21" si="3">I16+H17</f>
        <v>29</v>
      </c>
      <c r="J17" s="18">
        <f t="shared" ref="J17:J21" si="4">J16+1</f>
        <v>4.5</v>
      </c>
      <c r="K17" s="1">
        <f>J17*H17</f>
        <v>90</v>
      </c>
    </row>
    <row r="18" spans="1:15" ht="18.75" x14ac:dyDescent="0.3">
      <c r="A18" s="17">
        <v>8.5</v>
      </c>
      <c r="F18" s="13">
        <v>4</v>
      </c>
      <c r="G18" t="s">
        <v>35</v>
      </c>
      <c r="H18">
        <v>42</v>
      </c>
      <c r="I18" s="18">
        <f t="shared" si="3"/>
        <v>71</v>
      </c>
      <c r="J18" s="18">
        <f t="shared" si="4"/>
        <v>5.5</v>
      </c>
      <c r="K18" s="1">
        <f>J18*H18</f>
        <v>231</v>
      </c>
    </row>
    <row r="19" spans="1:15" ht="18.75" x14ac:dyDescent="0.25">
      <c r="A19" s="16">
        <v>3</v>
      </c>
      <c r="F19" s="13">
        <v>5</v>
      </c>
      <c r="G19" t="s">
        <v>36</v>
      </c>
      <c r="H19">
        <v>17</v>
      </c>
      <c r="I19" s="18">
        <f t="shared" si="3"/>
        <v>88</v>
      </c>
      <c r="J19" s="18">
        <f t="shared" si="4"/>
        <v>6.5</v>
      </c>
      <c r="K19" s="1">
        <f>J19*H19</f>
        <v>110.5</v>
      </c>
    </row>
    <row r="20" spans="1:15" ht="18.75" x14ac:dyDescent="0.25">
      <c r="A20" s="16">
        <v>7.5</v>
      </c>
      <c r="F20" s="13">
        <v>6</v>
      </c>
      <c r="G20" t="s">
        <v>37</v>
      </c>
      <c r="H20">
        <v>10</v>
      </c>
      <c r="I20" s="18">
        <f t="shared" si="3"/>
        <v>98</v>
      </c>
      <c r="J20" s="18">
        <f t="shared" si="4"/>
        <v>7.5</v>
      </c>
      <c r="K20" s="1">
        <f>J20*H20</f>
        <v>75</v>
      </c>
    </row>
    <row r="21" spans="1:15" ht="18.75" x14ac:dyDescent="0.25">
      <c r="A21" s="16">
        <v>6.8</v>
      </c>
      <c r="F21" s="13">
        <v>7</v>
      </c>
      <c r="G21" t="s">
        <v>38</v>
      </c>
      <c r="H21">
        <v>2</v>
      </c>
      <c r="I21" s="18">
        <f t="shared" si="3"/>
        <v>100</v>
      </c>
      <c r="J21" s="18">
        <f t="shared" si="4"/>
        <v>8.5</v>
      </c>
      <c r="K21" s="1">
        <f>J21*H21</f>
        <v>17</v>
      </c>
    </row>
    <row r="22" spans="1:15" ht="18.75" x14ac:dyDescent="0.3">
      <c r="A22" s="17">
        <v>9</v>
      </c>
      <c r="F22" s="1"/>
      <c r="G22" s="1"/>
      <c r="H22" s="18">
        <f>SUM(H15:H21)</f>
        <v>100</v>
      </c>
      <c r="I22" s="1"/>
      <c r="J22" s="1"/>
      <c r="K22" s="1">
        <f>SUM(K15:K21)</f>
        <v>553</v>
      </c>
      <c r="M22" s="20" t="s">
        <v>39</v>
      </c>
      <c r="N22" s="20"/>
      <c r="O22">
        <f>K22/H22</f>
        <v>5.53</v>
      </c>
    </row>
    <row r="23" spans="1:15" ht="18.75" x14ac:dyDescent="0.25">
      <c r="A23" s="16">
        <v>5</v>
      </c>
    </row>
    <row r="24" spans="1:15" ht="18.75" x14ac:dyDescent="0.25">
      <c r="A24" s="16">
        <v>7.1</v>
      </c>
    </row>
    <row r="25" spans="1:15" ht="18.75" x14ac:dyDescent="0.3">
      <c r="A25" s="17">
        <v>8.9</v>
      </c>
    </row>
    <row r="26" spans="1:15" ht="18.75" x14ac:dyDescent="0.25">
      <c r="A26" s="16">
        <v>4.5</v>
      </c>
    </row>
    <row r="27" spans="1:15" ht="18.75" x14ac:dyDescent="0.25">
      <c r="A27" s="16">
        <v>7.8</v>
      </c>
    </row>
    <row r="28" spans="1:15" ht="18.75" x14ac:dyDescent="0.3">
      <c r="A28" s="17">
        <v>12</v>
      </c>
    </row>
    <row r="29" spans="1:15" ht="18.75" x14ac:dyDescent="0.3">
      <c r="A29" s="17">
        <v>9.5</v>
      </c>
    </row>
    <row r="30" spans="1:15" ht="18.75" x14ac:dyDescent="0.3">
      <c r="A30" s="17">
        <v>10</v>
      </c>
    </row>
    <row r="31" spans="1:15" ht="18.75" x14ac:dyDescent="0.3">
      <c r="A31" s="17">
        <v>8.1999999999999993</v>
      </c>
    </row>
    <row r="32" spans="1:15" ht="18.75" x14ac:dyDescent="0.3">
      <c r="A32" s="17">
        <v>9.8000000000000007</v>
      </c>
    </row>
    <row r="33" spans="1:1" ht="18.75" x14ac:dyDescent="0.3">
      <c r="A33" s="17">
        <v>11.5</v>
      </c>
    </row>
    <row r="34" spans="1:1" ht="18.75" x14ac:dyDescent="0.3">
      <c r="A34" s="17">
        <v>9.6</v>
      </c>
    </row>
    <row r="35" spans="1:1" ht="18.75" x14ac:dyDescent="0.3">
      <c r="A35" s="17">
        <v>10.6</v>
      </c>
    </row>
    <row r="36" spans="1:1" ht="18.75" x14ac:dyDescent="0.3">
      <c r="A36" s="17">
        <v>9</v>
      </c>
    </row>
    <row r="37" spans="1:1" ht="18.75" x14ac:dyDescent="0.25">
      <c r="A37" s="16">
        <v>7.8</v>
      </c>
    </row>
    <row r="38" spans="1:1" ht="18.75" x14ac:dyDescent="0.3">
      <c r="A38" s="17">
        <v>9.6999999999999993</v>
      </c>
    </row>
    <row r="39" spans="1:1" ht="18.75" x14ac:dyDescent="0.3">
      <c r="A39" s="17">
        <v>12</v>
      </c>
    </row>
    <row r="40" spans="1:1" ht="18.75" x14ac:dyDescent="0.3">
      <c r="A40" s="17">
        <v>10.5</v>
      </c>
    </row>
    <row r="41" spans="1:1" ht="18.75" x14ac:dyDescent="0.3">
      <c r="A41" s="17">
        <v>9.9</v>
      </c>
    </row>
    <row r="42" spans="1:1" ht="18.75" x14ac:dyDescent="0.3">
      <c r="A42" s="17">
        <v>9.5</v>
      </c>
    </row>
    <row r="43" spans="1:1" ht="18.75" x14ac:dyDescent="0.3">
      <c r="A43" s="17">
        <v>10.9</v>
      </c>
    </row>
    <row r="44" spans="1:1" ht="18.75" x14ac:dyDescent="0.3">
      <c r="A44" s="17">
        <v>14</v>
      </c>
    </row>
    <row r="45" spans="1:1" ht="18.75" x14ac:dyDescent="0.3">
      <c r="A45" s="17">
        <v>11.7</v>
      </c>
    </row>
    <row r="46" spans="1:1" ht="18.75" x14ac:dyDescent="0.3">
      <c r="A46" s="17">
        <v>14.5</v>
      </c>
    </row>
    <row r="47" spans="1:1" ht="18.75" x14ac:dyDescent="0.3">
      <c r="A47" s="17">
        <v>13.8</v>
      </c>
    </row>
    <row r="48" spans="1:1" ht="18.75" x14ac:dyDescent="0.3">
      <c r="A48" s="17">
        <v>10</v>
      </c>
    </row>
    <row r="49" spans="1:1" ht="18.75" x14ac:dyDescent="0.3">
      <c r="A49" s="17">
        <v>10.8</v>
      </c>
    </row>
    <row r="50" spans="1:1" ht="18.75" x14ac:dyDescent="0.3">
      <c r="A50" s="17">
        <v>11</v>
      </c>
    </row>
    <row r="51" spans="1:1" ht="18.75" x14ac:dyDescent="0.3">
      <c r="A51" s="17">
        <v>15.8</v>
      </c>
    </row>
    <row r="52" spans="1:1" ht="18.75" x14ac:dyDescent="0.3">
      <c r="A52" s="17">
        <v>9.5</v>
      </c>
    </row>
    <row r="53" spans="1:1" ht="18.75" x14ac:dyDescent="0.3">
      <c r="A53" s="17">
        <v>11.8</v>
      </c>
    </row>
  </sheetData>
  <mergeCells count="1">
    <mergeCell ref="M22:N22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c346af-3c89-47fa-98f5-184e499fa3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5E52E30F28E64E8FF3DC7F34F11BBD" ma:contentTypeVersion="16" ma:contentTypeDescription="Create a new document." ma:contentTypeScope="" ma:versionID="bbbf1b7a41293fdb0e276a832edbd440">
  <xsd:schema xmlns:xsd="http://www.w3.org/2001/XMLSchema" xmlns:xs="http://www.w3.org/2001/XMLSchema" xmlns:p="http://schemas.microsoft.com/office/2006/metadata/properties" xmlns:ns3="7abd859d-1c1c-4946-9c11-d225e1ad3d57" xmlns:ns4="efc346af-3c89-47fa-98f5-184e499fa395" targetNamespace="http://schemas.microsoft.com/office/2006/metadata/properties" ma:root="true" ma:fieldsID="c3b5bcb7e4fbc05ca7bc62132ffd5a1d" ns3:_="" ns4:_="">
    <xsd:import namespace="7abd859d-1c1c-4946-9c11-d225e1ad3d57"/>
    <xsd:import namespace="efc346af-3c89-47fa-98f5-184e499fa39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SearchProperties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d859d-1c1c-4946-9c11-d225e1ad3d5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346af-3c89-47fa-98f5-184e499fa3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5B862F-C528-41E0-B08A-D822D539CC6C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7abd859d-1c1c-4946-9c11-d225e1ad3d57"/>
    <ds:schemaRef ds:uri="http://www.w3.org/XML/1998/namespace"/>
    <ds:schemaRef ds:uri="http://schemas.microsoft.com/office/2006/metadata/properties"/>
    <ds:schemaRef ds:uri="efc346af-3c89-47fa-98f5-184e499fa395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7F68225-EF23-4B0B-9A56-1ADF07805C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DE578C-53BA-4A91-8CF4-D056930347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bd859d-1c1c-4946-9c11-d225e1ad3d57"/>
    <ds:schemaRef ds:uri="efc346af-3c89-47fa-98f5-184e499fa3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DIONISIO GUERRA</dc:creator>
  <cp:lastModifiedBy>NILTON DIONISIO GUERRA</cp:lastModifiedBy>
  <dcterms:created xsi:type="dcterms:W3CDTF">2023-10-04T12:51:11Z</dcterms:created>
  <dcterms:modified xsi:type="dcterms:W3CDTF">2023-10-04T16:51:20Z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0x0101004B5E52E30F28E64E8FF3DC7F34F11BBD</vt:lpwstr>
  </property>
</Properties>
</file>