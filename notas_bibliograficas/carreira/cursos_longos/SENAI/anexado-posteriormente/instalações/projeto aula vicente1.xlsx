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ownloads\"/>
    </mc:Choice>
  </mc:AlternateContent>
  <xr:revisionPtr revIDLastSave="556" documentId="13_ncr:1_{D1626EA7-FF8C-4F3C-AABF-F47DD099A78C}" xr6:coauthVersionLast="47" xr6:coauthVersionMax="47" xr10:uidLastSave="{AFD7B482-2B23-420C-946A-311C0CBEF1D7}"/>
  <bookViews>
    <workbookView xWindow="-120" yWindow="-120" windowWidth="20730" windowHeight="11160" xr2:uid="{976F9C23-66C2-4569-B618-A5EB1759C552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" i="1" l="1"/>
  <c r="AD7" i="1"/>
  <c r="AD6" i="1"/>
  <c r="AD5" i="1"/>
  <c r="AD4" i="1"/>
  <c r="AE4" i="1"/>
  <c r="I9" i="1"/>
  <c r="AB4" i="1"/>
  <c r="AC4" i="1" s="1"/>
  <c r="AB5" i="1"/>
  <c r="AC5" i="1" s="1"/>
  <c r="AE5" i="1" s="1"/>
  <c r="AB6" i="1"/>
  <c r="AC6" i="1" s="1"/>
  <c r="AE6" i="1" s="1"/>
  <c r="AB7" i="1"/>
  <c r="AC7" i="1" s="1"/>
  <c r="AE7" i="1" s="1"/>
  <c r="AB8" i="1"/>
  <c r="AC8" i="1" s="1"/>
  <c r="AE8" i="1" s="1"/>
  <c r="AB9" i="1"/>
  <c r="AC9" i="1" s="1"/>
  <c r="AD9" i="1" s="1"/>
  <c r="AE9" i="1" s="1"/>
  <c r="AB10" i="1"/>
  <c r="AC10" i="1" s="1"/>
  <c r="AD10" i="1" s="1"/>
  <c r="AE10" i="1" s="1"/>
  <c r="AB11" i="1"/>
  <c r="AC11" i="1" s="1"/>
  <c r="AD11" i="1" s="1"/>
  <c r="AE11" i="1" s="1"/>
  <c r="E18" i="1"/>
  <c r="E17" i="1"/>
  <c r="E16" i="1"/>
  <c r="E15" i="1"/>
  <c r="E14" i="1"/>
  <c r="E13" i="1"/>
  <c r="E21" i="1" s="1"/>
  <c r="F8" i="1" l="1"/>
  <c r="H8" i="1" s="1"/>
  <c r="F7" i="1"/>
  <c r="F6" i="1"/>
  <c r="H6" i="1" s="1"/>
  <c r="F5" i="1"/>
  <c r="H5" i="1" s="1"/>
  <c r="F4" i="1"/>
  <c r="F3" i="1"/>
  <c r="D8" i="1"/>
  <c r="E8" i="1" s="1"/>
  <c r="S6" i="1"/>
  <c r="F18" i="1"/>
  <c r="D3" i="1" l="1"/>
  <c r="E3" i="1" s="1"/>
  <c r="F5" i="2" l="1"/>
  <c r="H5" i="2"/>
  <c r="D5" i="2"/>
  <c r="E5" i="2"/>
  <c r="F4" i="2"/>
  <c r="H4" i="2"/>
  <c r="D4" i="2"/>
  <c r="E4" i="2"/>
  <c r="D7" i="2"/>
  <c r="E7" i="2"/>
  <c r="F9" i="2"/>
  <c r="H9" i="2"/>
  <c r="D9" i="2"/>
  <c r="E9" i="2"/>
  <c r="F8" i="2"/>
  <c r="H8" i="2" s="1"/>
  <c r="D8" i="2"/>
  <c r="E8" i="2"/>
  <c r="F7" i="2"/>
  <c r="H7" i="2"/>
  <c r="F6" i="2"/>
  <c r="H6" i="2"/>
  <c r="D6" i="2"/>
  <c r="E6" i="2"/>
  <c r="F3" i="2"/>
  <c r="H3" i="2"/>
  <c r="D3" i="2"/>
  <c r="E3" i="2"/>
  <c r="F14" i="1"/>
  <c r="F15" i="1"/>
  <c r="F16" i="1"/>
  <c r="F17" i="1"/>
  <c r="F13" i="1"/>
  <c r="F21" i="1" s="1"/>
  <c r="D21" i="1"/>
  <c r="G13" i="1" s="1"/>
  <c r="H3" i="1"/>
  <c r="H4" i="1"/>
  <c r="H7" i="1"/>
  <c r="D4" i="1"/>
  <c r="E4" i="1" s="1"/>
  <c r="D5" i="1"/>
  <c r="E5" i="1" s="1"/>
  <c r="D6" i="1"/>
  <c r="E6" i="1" s="1"/>
  <c r="D7" i="1"/>
  <c r="E7" i="1" s="1"/>
  <c r="E9" i="1" l="1"/>
  <c r="H9" i="1"/>
  <c r="H13" i="1"/>
  <c r="B32" i="1" l="1"/>
  <c r="B33" i="1" s="1"/>
</calcChain>
</file>

<file path=xl/sharedStrings.xml><?xml version="1.0" encoding="utf-8"?>
<sst xmlns="http://schemas.openxmlformats.org/spreadsheetml/2006/main" count="176" uniqueCount="101">
  <si>
    <t xml:space="preserve">LOCAL </t>
  </si>
  <si>
    <t>AREA</t>
  </si>
  <si>
    <t xml:space="preserve">PERIMETRO </t>
  </si>
  <si>
    <t>QTD ILUMINAÇÃO</t>
  </si>
  <si>
    <t>POT ILUMINAÇÃO</t>
  </si>
  <si>
    <t>QTD TOMADAS</t>
  </si>
  <si>
    <t>POT TOMADAS</t>
  </si>
  <si>
    <t>POT TOTAL</t>
  </si>
  <si>
    <t>TUE</t>
  </si>
  <si>
    <t>Sala de jantar e estar</t>
  </si>
  <si>
    <t>Chuveiro</t>
  </si>
  <si>
    <t>circuitos</t>
  </si>
  <si>
    <t>tensão(volts)</t>
  </si>
  <si>
    <t>Potência(walts)</t>
  </si>
  <si>
    <t>Corrente(Ampére)</t>
  </si>
  <si>
    <t>Fator de Potência</t>
  </si>
  <si>
    <t>Fator de agrupamento</t>
  </si>
  <si>
    <t>temperatura</t>
  </si>
  <si>
    <t>Dormitório</t>
  </si>
  <si>
    <t>Locais</t>
  </si>
  <si>
    <t xml:space="preserve">Dimensões </t>
  </si>
  <si>
    <t>Iluminação</t>
  </si>
  <si>
    <t>TUG</t>
  </si>
  <si>
    <t>Tomadas sala de jantar, estar, Dormitorio</t>
  </si>
  <si>
    <t>W.C. (banheiro)</t>
  </si>
  <si>
    <t>2x600</t>
  </si>
  <si>
    <t>Microondas</t>
  </si>
  <si>
    <t>área</t>
  </si>
  <si>
    <t>perímetro</t>
  </si>
  <si>
    <t>potência</t>
  </si>
  <si>
    <t>Cozinha</t>
  </si>
  <si>
    <t>3x600;2x100</t>
  </si>
  <si>
    <t>17.68</t>
  </si>
  <si>
    <t>Lavanderia</t>
  </si>
  <si>
    <t>3x600</t>
  </si>
  <si>
    <t>Torneiras</t>
  </si>
  <si>
    <t>microondas</t>
  </si>
  <si>
    <t>corredor</t>
  </si>
  <si>
    <t>Tomadas sala de estar, corredor, aréa de serviço</t>
  </si>
  <si>
    <t>Total</t>
  </si>
  <si>
    <t>NA</t>
  </si>
  <si>
    <t>7.29</t>
  </si>
  <si>
    <t>10.8</t>
  </si>
  <si>
    <t>Tomadas cozinha</t>
  </si>
  <si>
    <t>X</t>
  </si>
  <si>
    <t>4.9</t>
  </si>
  <si>
    <t>9.1</t>
  </si>
  <si>
    <t>Corneira elétrica</t>
  </si>
  <si>
    <t>Centro de carga</t>
  </si>
  <si>
    <t>3.64</t>
  </si>
  <si>
    <t>8.2</t>
  </si>
  <si>
    <t>Tomadas banheiro</t>
  </si>
  <si>
    <t>Y</t>
  </si>
  <si>
    <t>POT</t>
  </si>
  <si>
    <t>CGx</t>
  </si>
  <si>
    <t>CGy</t>
  </si>
  <si>
    <t>Sala ilum</t>
  </si>
  <si>
    <t>Sala tugs</t>
  </si>
  <si>
    <t>Sala tue</t>
  </si>
  <si>
    <t>Sala2 ilum</t>
  </si>
  <si>
    <t>Sala2 tugs</t>
  </si>
  <si>
    <t>Corrente</t>
  </si>
  <si>
    <t xml:space="preserve">Disjuntor </t>
  </si>
  <si>
    <t>DPS</t>
  </si>
  <si>
    <t>DR</t>
  </si>
  <si>
    <t>Cabo(mm²)</t>
  </si>
  <si>
    <t>Sala2 tue</t>
  </si>
  <si>
    <t>Tipo de curva</t>
  </si>
  <si>
    <t>Tipo de circuito</t>
  </si>
  <si>
    <t>tensão 
Máxima</t>
  </si>
  <si>
    <t xml:space="preserve">Corrente 
máxima de descargar </t>
  </si>
  <si>
    <t>classe</t>
  </si>
  <si>
    <t>tipo</t>
  </si>
  <si>
    <t>Corrente de 
fuga</t>
  </si>
  <si>
    <t>correte</t>
  </si>
  <si>
    <t>c</t>
  </si>
  <si>
    <t>monopolar</t>
  </si>
  <si>
    <t>175VCA</t>
  </si>
  <si>
    <t>40k</t>
  </si>
  <si>
    <t>AC</t>
  </si>
  <si>
    <t>&gt;=30mA</t>
  </si>
  <si>
    <t>b</t>
  </si>
  <si>
    <t>Bipolar</t>
  </si>
  <si>
    <t>275VCA</t>
  </si>
  <si>
    <t>bipolar</t>
  </si>
  <si>
    <t>Obs: É uma 
casa sem muitos predios se não eu usaria um entre 8kA à 20kA</t>
  </si>
  <si>
    <t>Da rua até o quadro de enérgia</t>
  </si>
  <si>
    <t>valor de demanda</t>
  </si>
  <si>
    <t>Corrente do projeto</t>
  </si>
  <si>
    <t>Disjuntor</t>
  </si>
  <si>
    <t>Cabo</t>
  </si>
  <si>
    <t>25mm²= 89Amperes</t>
  </si>
  <si>
    <t>Terra = 16mm²/ Neutro =25</t>
  </si>
  <si>
    <t>SALA d.ESTAR</t>
  </si>
  <si>
    <t>SALA d.JANTAR</t>
  </si>
  <si>
    <t>DOMIR 1</t>
  </si>
  <si>
    <t>DOMIR 2</t>
  </si>
  <si>
    <t>COZINHA</t>
  </si>
  <si>
    <t>3x600;1x100</t>
  </si>
  <si>
    <t>LAVANDERIA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</si>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</sst>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2" fillId="2" borderId="1" xfId="1" applyBorder="1"/>
    <xf numFmtId="0" fontId="0" fillId="0" borderId="1" xfId="0" applyNumberFormat="1" applyBorder="1"/>
    <xf numFmtId="0" fontId="2" fillId="2" borderId="1" xfId="1" applyBorder="1" applyAlignment="1"/>
    <xf numFmtId="0" fontId="0" fillId="0" borderId="2" xfId="0" applyBorder="1" applyAlignment="1">
      <alignment horizontal="right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11" fontId="0" fillId="0" borderId="0" xfId="0" applyNumberFormat="1"/>
    <xf numFmtId="0" fontId="0" fillId="0" borderId="1" xfId="0" applyFill="1" applyBorder="1"/>
    <xf numFmtId="0" fontId="1" fillId="4" borderId="1" xfId="0" applyFont="1" applyFill="1" applyBorder="1"/>
    <xf numFmtId="0" fontId="0" fillId="0" borderId="6" xfId="0" applyBorder="1"/>
    <xf numFmtId="0" fontId="0" fillId="0" borderId="0" xfId="0" applyBorder="1" applyAlignment="1">
      <alignment horizontal="right"/>
    </xf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3" fillId="0" borderId="0" xfId="0" applyFont="1"/>
    <xf numFmtId="0" fontId="0" fillId="0" borderId="8" xfId="0" applyBorder="1"/>
    <xf numFmtId="0" fontId="4" fillId="0" borderId="0" xfId="0" applyFont="1"/>
    <xf numFmtId="0" fontId="0" fillId="0" borderId="0" xfId="0" applyFont="1"/>
    <xf numFmtId="0" fontId="1" fillId="4" borderId="2" xfId="0" applyFont="1" applyFill="1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5" xfId="0" applyNumberFormat="1" applyBorder="1"/>
    <xf numFmtId="0" fontId="0" fillId="0" borderId="9" xfId="0" applyBorder="1" applyAlignment="1">
      <alignment horizontal="right"/>
    </xf>
    <xf numFmtId="0" fontId="2" fillId="2" borderId="2" xfId="1" applyBorder="1" applyAlignment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6" xfId="0" applyNumberFormat="1" applyBorder="1"/>
    <xf numFmtId="164" fontId="0" fillId="0" borderId="8" xfId="0" applyNumberFormat="1" applyBorder="1"/>
    <xf numFmtId="0" fontId="0" fillId="0" borderId="6" xfId="0" applyBorder="1" applyAlignment="1">
      <alignment horizontal="center"/>
    </xf>
    <xf numFmtId="0" fontId="2" fillId="2" borderId="12" xfId="1" applyBorder="1" applyAlignment="1">
      <alignment horizontal="center"/>
    </xf>
    <xf numFmtId="0" fontId="2" fillId="2" borderId="13" xfId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0" xfId="1" applyBorder="1" applyAlignment="1">
      <alignment horizontal="center"/>
    </xf>
    <xf numFmtId="0" fontId="2" fillId="2" borderId="5" xfId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2" fillId="2" borderId="16" xfId="1" applyBorder="1" applyAlignment="1">
      <alignment horizontal="center"/>
    </xf>
    <xf numFmtId="0" fontId="2" fillId="2" borderId="5" xfId="1" applyBorder="1"/>
    <xf numFmtId="0" fontId="2" fillId="2" borderId="5" xfId="1" applyBorder="1" applyAlignment="1">
      <alignment horizontal="center"/>
    </xf>
    <xf numFmtId="0" fontId="2" fillId="2" borderId="16" xfId="1" applyBorder="1" applyAlignment="1"/>
    <xf numFmtId="0" fontId="2" fillId="2" borderId="17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9" xfId="1" applyBorder="1"/>
    <xf numFmtId="0" fontId="2" fillId="2" borderId="10" xfId="1" applyBorder="1" applyAlignment="1">
      <alignment horizontal="center"/>
    </xf>
    <xf numFmtId="0" fontId="2" fillId="2" borderId="18" xfId="1" applyBorder="1" applyAlignment="1">
      <alignment wrapText="1"/>
    </xf>
    <xf numFmtId="0" fontId="0" fillId="0" borderId="19" xfId="0" applyBorder="1"/>
    <xf numFmtId="0" fontId="2" fillId="2" borderId="8" xfId="1" applyBorder="1" applyAlignment="1">
      <alignment horizontal="center"/>
    </xf>
    <xf numFmtId="0" fontId="2" fillId="2" borderId="14" xfId="1" applyBorder="1" applyAlignment="1">
      <alignment horizontal="center"/>
    </xf>
    <xf numFmtId="0" fontId="2" fillId="2" borderId="14" xfId="1" applyBorder="1" applyAlignment="1">
      <alignment horizontal="center"/>
    </xf>
    <xf numFmtId="0" fontId="2" fillId="2" borderId="6" xfId="1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630-16B6-453B-9D55-E06F0413480A}">
  <dimension ref="A2:AT41"/>
  <sheetViews>
    <sheetView tabSelected="1" topLeftCell="T1" workbookViewId="0">
      <selection activeCell="AD16" sqref="AD16"/>
    </sheetView>
  </sheetViews>
  <sheetFormatPr defaultRowHeight="15"/>
  <cols>
    <col min="1" max="2" width="19.85546875" customWidth="1"/>
    <col min="3" max="3" width="11.5703125" customWidth="1"/>
    <col min="4" max="4" width="16.42578125" customWidth="1"/>
    <col min="5" max="5" width="24.85546875" bestFit="1" customWidth="1"/>
    <col min="6" max="6" width="15.140625" customWidth="1"/>
    <col min="7" max="7" width="18.42578125" customWidth="1"/>
    <col min="8" max="8" width="12.140625" customWidth="1"/>
    <col min="9" max="9" width="18" bestFit="1" customWidth="1"/>
    <col min="10" max="10" width="24.5703125" bestFit="1" customWidth="1"/>
    <col min="11" max="12" width="17" bestFit="1" customWidth="1"/>
    <col min="16" max="16" width="20.5703125" customWidth="1"/>
    <col min="17" max="17" width="11.5703125" customWidth="1"/>
    <col min="18" max="18" width="11.140625" customWidth="1"/>
    <col min="19" max="19" width="16.28515625" customWidth="1"/>
    <col min="23" max="23" width="10.5703125" customWidth="1"/>
    <col min="24" max="24" width="2.42578125" customWidth="1"/>
    <col min="25" max="25" width="48.5703125" bestFit="1" customWidth="1"/>
    <col min="26" max="26" width="12.85546875" bestFit="1" customWidth="1"/>
    <col min="27" max="27" width="15.140625" bestFit="1" customWidth="1"/>
    <col min="28" max="28" width="17.85546875" bestFit="1" customWidth="1"/>
    <col min="29" max="29" width="16.7109375" bestFit="1" customWidth="1"/>
    <col min="30" max="30" width="21" bestFit="1" customWidth="1"/>
    <col min="31" max="31" width="14.5703125" customWidth="1"/>
    <col min="35" max="35" width="43.7109375" bestFit="1" customWidth="1"/>
    <col min="36" max="36" width="13.7109375" customWidth="1"/>
    <col min="37" max="37" width="12.85546875" bestFit="1" customWidth="1"/>
    <col min="38" max="38" width="14.42578125" bestFit="1" customWidth="1"/>
    <col min="43" max="43" width="10.5703125" customWidth="1"/>
    <col min="44" max="44" width="12.140625" customWidth="1"/>
    <col min="46" max="46" width="10.28515625" customWidth="1"/>
  </cols>
  <sheetData>
    <row r="2" spans="1:3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28" t="s">
        <v>7</v>
      </c>
      <c r="I2" s="28" t="s">
        <v>8</v>
      </c>
    </row>
    <row r="3" spans="1:32">
      <c r="A3" s="13" t="s">
        <v>9</v>
      </c>
      <c r="B3" s="10">
        <v>17</v>
      </c>
      <c r="C3" s="10">
        <v>18</v>
      </c>
      <c r="D3" s="1">
        <f>IF(B3&gt;6,INT((B3-6)/4)+1,1)</f>
        <v>3</v>
      </c>
      <c r="E3" s="1">
        <f>((D3-1)*60)+100</f>
        <v>220</v>
      </c>
      <c r="F3" s="3">
        <f>ROUNDUP(C3/5,)</f>
        <v>4</v>
      </c>
      <c r="G3" s="5">
        <v>100</v>
      </c>
      <c r="H3" s="29">
        <f>G3*F3</f>
        <v>400</v>
      </c>
      <c r="I3" s="14" t="s">
        <v>10</v>
      </c>
      <c r="X3" s="36" t="s">
        <v>11</v>
      </c>
      <c r="Y3" s="37"/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</row>
    <row r="4" spans="1:32">
      <c r="A4" s="13" t="s">
        <v>18</v>
      </c>
      <c r="B4" s="10">
        <v>10</v>
      </c>
      <c r="C4" s="10">
        <v>13</v>
      </c>
      <c r="D4" s="1">
        <f t="shared" ref="D4:D7" si="0">IF(B4&gt;6,INT((B4-6)/4)+1,1)</f>
        <v>2</v>
      </c>
      <c r="E4" s="1">
        <f t="shared" ref="E4:E7" si="1">((D4-1)*60)+100</f>
        <v>160</v>
      </c>
      <c r="F4" s="3">
        <f>ROUNDUP(C4/5,)</f>
        <v>3</v>
      </c>
      <c r="G4" s="5">
        <v>100</v>
      </c>
      <c r="H4" s="29">
        <f t="shared" ref="H4" si="2">G4*F4</f>
        <v>300</v>
      </c>
      <c r="I4" s="14">
        <v>7500</v>
      </c>
      <c r="P4" s="28" t="s">
        <v>19</v>
      </c>
      <c r="Q4" s="28" t="s">
        <v>20</v>
      </c>
      <c r="R4" s="28"/>
      <c r="S4" s="28" t="s">
        <v>21</v>
      </c>
      <c r="T4" s="28" t="s">
        <v>22</v>
      </c>
      <c r="U4" s="28" t="s">
        <v>8</v>
      </c>
      <c r="X4" s="14">
        <v>1</v>
      </c>
      <c r="Y4" s="31" t="s">
        <v>23</v>
      </c>
      <c r="Z4" s="14">
        <v>127</v>
      </c>
      <c r="AA4" s="14">
        <v>600</v>
      </c>
      <c r="AB4" s="33">
        <f>AA4/Z4</f>
        <v>4.7244094488188972</v>
      </c>
      <c r="AC4" s="33">
        <f>AB4*0.4</f>
        <v>1.889763779527559</v>
      </c>
      <c r="AD4" s="34">
        <f>AC4/0.79</f>
        <v>2.3921060500348847</v>
      </c>
      <c r="AE4" s="33">
        <f>AD4/0.94</f>
        <v>2.5447936702498777</v>
      </c>
    </row>
    <row r="5" spans="1:32">
      <c r="A5" s="13" t="s">
        <v>24</v>
      </c>
      <c r="B5" s="10">
        <v>3</v>
      </c>
      <c r="C5" s="10">
        <v>7</v>
      </c>
      <c r="D5" s="1">
        <f t="shared" si="0"/>
        <v>1</v>
      </c>
      <c r="E5" s="1">
        <f t="shared" si="1"/>
        <v>100</v>
      </c>
      <c r="F5" s="3">
        <f>ROUNDUP(C5/3.5,)</f>
        <v>2</v>
      </c>
      <c r="G5" s="5" t="s">
        <v>25</v>
      </c>
      <c r="H5" s="29">
        <f>F5*600</f>
        <v>1200</v>
      </c>
      <c r="I5" s="14" t="s">
        <v>26</v>
      </c>
      <c r="K5" s="22"/>
      <c r="P5" s="28"/>
      <c r="Q5" s="28" t="s">
        <v>27</v>
      </c>
      <c r="R5" s="28" t="s">
        <v>28</v>
      </c>
      <c r="S5" s="28" t="s">
        <v>29</v>
      </c>
      <c r="T5" s="28" t="s">
        <v>29</v>
      </c>
      <c r="U5" s="28" t="s">
        <v>29</v>
      </c>
      <c r="X5" s="14">
        <v>2</v>
      </c>
      <c r="Y5" s="31" t="s">
        <v>21</v>
      </c>
      <c r="Z5" s="14">
        <v>127</v>
      </c>
      <c r="AA5" s="14">
        <v>780</v>
      </c>
      <c r="AB5" s="33">
        <f>AA5/Z5</f>
        <v>6.1417322834645667</v>
      </c>
      <c r="AC5" s="33">
        <f>AB5*0.4</f>
        <v>2.4566929133858268</v>
      </c>
      <c r="AD5" s="34">
        <f>AC5/0.79</f>
        <v>3.1097378650453504</v>
      </c>
      <c r="AE5" s="33">
        <f t="shared" ref="AE5:AE11" si="3">AD5/0.94</f>
        <v>3.308231771324841</v>
      </c>
    </row>
    <row r="6" spans="1:32">
      <c r="A6" s="13" t="s">
        <v>30</v>
      </c>
      <c r="B6" s="10">
        <v>7</v>
      </c>
      <c r="C6" s="10">
        <v>11</v>
      </c>
      <c r="D6" s="1">
        <f t="shared" si="0"/>
        <v>1</v>
      </c>
      <c r="E6" s="1">
        <f t="shared" si="1"/>
        <v>100</v>
      </c>
      <c r="F6" s="3">
        <f>ROUNDUP(C6/3.5,)</f>
        <v>4</v>
      </c>
      <c r="G6" s="5" t="s">
        <v>31</v>
      </c>
      <c r="H6" s="29">
        <f>((F6-1)*600+1*100)</f>
        <v>1900</v>
      </c>
      <c r="I6" s="14">
        <v>1500</v>
      </c>
      <c r="O6" s="11"/>
      <c r="P6" s="1" t="s">
        <v>9</v>
      </c>
      <c r="Q6" s="10">
        <v>17.21</v>
      </c>
      <c r="R6" s="10" t="s">
        <v>32</v>
      </c>
      <c r="S6" s="1">
        <f>(Q6-6)/4*60+100</f>
        <v>268.14999999999998</v>
      </c>
      <c r="T6" s="1"/>
      <c r="U6" s="1"/>
      <c r="X6" s="14">
        <v>3</v>
      </c>
      <c r="Y6" s="31" t="s">
        <v>10</v>
      </c>
      <c r="Z6" s="14">
        <v>220</v>
      </c>
      <c r="AA6" s="14">
        <v>7800</v>
      </c>
      <c r="AB6" s="33">
        <f>AA6/Z6</f>
        <v>35.454545454545453</v>
      </c>
      <c r="AC6" s="33">
        <f>AB6*0.84</f>
        <v>29.781818181818181</v>
      </c>
      <c r="AD6" s="34">
        <f>AC6/0.79</f>
        <v>37.69850402761795</v>
      </c>
      <c r="AE6" s="33">
        <f t="shared" si="3"/>
        <v>40.104791518742502</v>
      </c>
      <c r="AF6" s="19"/>
    </row>
    <row r="7" spans="1:32">
      <c r="A7" s="13" t="s">
        <v>33</v>
      </c>
      <c r="B7" s="10">
        <v>5</v>
      </c>
      <c r="C7" s="10">
        <v>9</v>
      </c>
      <c r="D7" s="1">
        <f t="shared" si="0"/>
        <v>1</v>
      </c>
      <c r="E7" s="1">
        <f t="shared" si="1"/>
        <v>100</v>
      </c>
      <c r="F7" s="3">
        <f>ROUNDUP(C7/3.5,)</f>
        <v>3</v>
      </c>
      <c r="G7" s="5" t="s">
        <v>34</v>
      </c>
      <c r="H7" s="29">
        <f>F7*600</f>
        <v>1800</v>
      </c>
      <c r="I7" s="14" t="s">
        <v>35</v>
      </c>
      <c r="P7" s="1" t="s">
        <v>18</v>
      </c>
      <c r="Q7" s="10">
        <v>9.9</v>
      </c>
      <c r="R7" s="10">
        <v>12.8</v>
      </c>
      <c r="S7" s="1"/>
      <c r="T7" s="1"/>
      <c r="U7" s="1"/>
      <c r="X7" s="14">
        <v>4</v>
      </c>
      <c r="Y7" s="31" t="s">
        <v>36</v>
      </c>
      <c r="Z7" s="14">
        <v>220</v>
      </c>
      <c r="AA7" s="14">
        <v>1500</v>
      </c>
      <c r="AB7" s="33">
        <f t="shared" ref="AB5:AB11" si="4">AA7/Z7</f>
        <v>6.8181818181818183</v>
      </c>
      <c r="AC7" s="33">
        <f>AB7*0.84</f>
        <v>5.7272727272727275</v>
      </c>
      <c r="AD7" s="34">
        <f>AC7/0.81</f>
        <v>7.0707070707070709</v>
      </c>
      <c r="AE7" s="33">
        <f t="shared" si="3"/>
        <v>7.522028798624544</v>
      </c>
    </row>
    <row r="8" spans="1:32">
      <c r="A8" s="13" t="s">
        <v>37</v>
      </c>
      <c r="B8" s="24">
        <v>4</v>
      </c>
      <c r="C8" s="24">
        <v>8</v>
      </c>
      <c r="D8" s="25">
        <f t="shared" ref="D8" si="5">IF(B8&gt;6,INT((B8-6)/4)+1,1)</f>
        <v>1</v>
      </c>
      <c r="E8" s="25">
        <f>((D8-1)*60)+100</f>
        <v>100</v>
      </c>
      <c r="F8" s="26">
        <f>ROUNDUP(C8/5,)</f>
        <v>2</v>
      </c>
      <c r="G8" s="27">
        <v>100</v>
      </c>
      <c r="H8" s="30">
        <f>F8*100</f>
        <v>200</v>
      </c>
      <c r="I8" s="14">
        <v>4800</v>
      </c>
      <c r="P8" s="1" t="s">
        <v>24</v>
      </c>
      <c r="Q8" s="10">
        <v>3</v>
      </c>
      <c r="R8" s="10">
        <v>7</v>
      </c>
      <c r="S8" s="1"/>
      <c r="T8" s="1"/>
      <c r="U8" s="1"/>
      <c r="X8" s="14">
        <v>5</v>
      </c>
      <c r="Y8" s="31" t="s">
        <v>38</v>
      </c>
      <c r="Z8" s="14">
        <v>127</v>
      </c>
      <c r="AA8" s="14">
        <v>2000</v>
      </c>
      <c r="AB8" s="33">
        <f t="shared" si="4"/>
        <v>15.748031496062993</v>
      </c>
      <c r="AC8" s="33">
        <f>AB8*0.4</f>
        <v>6.2992125984251972</v>
      </c>
      <c r="AD8" s="34">
        <f>AC8/0.79</f>
        <v>7.9736868334496167</v>
      </c>
      <c r="AE8" s="33">
        <f t="shared" si="3"/>
        <v>8.482645567499592</v>
      </c>
    </row>
    <row r="9" spans="1:32">
      <c r="A9" s="23" t="s">
        <v>39</v>
      </c>
      <c r="B9" s="14" t="s">
        <v>40</v>
      </c>
      <c r="C9" s="14" t="s">
        <v>40</v>
      </c>
      <c r="D9" s="14" t="s">
        <v>40</v>
      </c>
      <c r="E9" s="14">
        <f>SUM(E3:E8)*0.4</f>
        <v>312</v>
      </c>
      <c r="F9" s="14" t="s">
        <v>40</v>
      </c>
      <c r="G9" s="14" t="s">
        <v>40</v>
      </c>
      <c r="H9" s="20">
        <f>SUM(H3:H8)*0.4</f>
        <v>2320</v>
      </c>
      <c r="I9" s="14">
        <f>SUM(I4,I6,I8)*0.84</f>
        <v>11592</v>
      </c>
      <c r="J9" s="17"/>
      <c r="P9" s="1" t="s">
        <v>30</v>
      </c>
      <c r="Q9" s="10" t="s">
        <v>41</v>
      </c>
      <c r="R9" s="10" t="s">
        <v>42</v>
      </c>
      <c r="S9" s="1"/>
      <c r="T9" s="1"/>
      <c r="U9" s="1"/>
      <c r="X9" s="14">
        <v>6</v>
      </c>
      <c r="Y9" s="31" t="s">
        <v>43</v>
      </c>
      <c r="Z9" s="14">
        <v>127</v>
      </c>
      <c r="AA9" s="14">
        <v>1900</v>
      </c>
      <c r="AB9" s="33">
        <f t="shared" si="4"/>
        <v>14.960629921259843</v>
      </c>
      <c r="AC9" s="33">
        <f>AB9*0.4</f>
        <v>5.984251968503937</v>
      </c>
      <c r="AD9" s="34">
        <f>AC9/0.79</f>
        <v>7.575002491777135</v>
      </c>
      <c r="AE9" s="33">
        <f t="shared" si="3"/>
        <v>8.0585132891246118</v>
      </c>
    </row>
    <row r="10" spans="1:32">
      <c r="K10" t="s">
        <v>44</v>
      </c>
      <c r="P10" s="1" t="s">
        <v>33</v>
      </c>
      <c r="Q10" s="10" t="s">
        <v>45</v>
      </c>
      <c r="R10" s="10" t="s">
        <v>46</v>
      </c>
      <c r="S10" s="1"/>
      <c r="T10" s="1"/>
      <c r="U10" s="1"/>
      <c r="X10" s="14">
        <v>7</v>
      </c>
      <c r="Y10" s="32" t="s">
        <v>47</v>
      </c>
      <c r="Z10" s="16">
        <v>220</v>
      </c>
      <c r="AA10" s="16">
        <v>4800</v>
      </c>
      <c r="AB10" s="33">
        <f t="shared" si="4"/>
        <v>21.818181818181817</v>
      </c>
      <c r="AC10" s="33">
        <f>AB10*0.84</f>
        <v>18.327272727272724</v>
      </c>
      <c r="AD10" s="34">
        <f>AC10/0.79</f>
        <v>23.199079401611044</v>
      </c>
      <c r="AE10" s="33">
        <f t="shared" si="3"/>
        <v>24.679871703841538</v>
      </c>
    </row>
    <row r="11" spans="1:32">
      <c r="A11" s="38" t="s">
        <v>48</v>
      </c>
      <c r="B11" s="39"/>
      <c r="C11" s="39"/>
      <c r="D11" s="39"/>
      <c r="E11" s="39"/>
      <c r="F11" s="39"/>
      <c r="G11" s="39"/>
      <c r="H11" s="39"/>
      <c r="I11" s="39"/>
      <c r="J11" s="40"/>
      <c r="P11" s="12" t="s">
        <v>37</v>
      </c>
      <c r="Q11" s="10" t="s">
        <v>49</v>
      </c>
      <c r="R11" s="10" t="s">
        <v>50</v>
      </c>
      <c r="S11" s="1"/>
      <c r="T11" s="1"/>
      <c r="U11" s="1"/>
      <c r="X11" s="14">
        <v>8</v>
      </c>
      <c r="Y11" s="31" t="s">
        <v>51</v>
      </c>
      <c r="Z11" s="14">
        <v>127</v>
      </c>
      <c r="AA11" s="14">
        <v>1200</v>
      </c>
      <c r="AB11" s="33">
        <f t="shared" si="4"/>
        <v>9.4488188976377945</v>
      </c>
      <c r="AC11" s="33">
        <f>AB11*0.4</f>
        <v>3.7795275590551181</v>
      </c>
      <c r="AD11" s="34">
        <f>AC11/0.79</f>
        <v>4.7842121000697695</v>
      </c>
      <c r="AE11" s="33">
        <f>AD11/0.94</f>
        <v>5.0895873404997554</v>
      </c>
    </row>
    <row r="12" spans="1:32">
      <c r="A12" s="1"/>
      <c r="B12" s="8" t="s">
        <v>44</v>
      </c>
      <c r="C12" s="8" t="s">
        <v>52</v>
      </c>
      <c r="D12" s="7" t="s">
        <v>53</v>
      </c>
      <c r="E12" s="1"/>
      <c r="F12" s="1"/>
      <c r="G12" s="1" t="s">
        <v>54</v>
      </c>
      <c r="H12" s="1" t="s">
        <v>55</v>
      </c>
      <c r="I12" s="1"/>
      <c r="J12" s="1"/>
    </row>
    <row r="13" spans="1:32">
      <c r="A13" s="1" t="s">
        <v>56</v>
      </c>
      <c r="B13" s="1">
        <v>3.85</v>
      </c>
      <c r="C13" s="1">
        <v>0.91</v>
      </c>
      <c r="D13" s="1">
        <v>220</v>
      </c>
      <c r="E13" s="1">
        <f>$D13*B13</f>
        <v>847</v>
      </c>
      <c r="F13" s="1">
        <f>C13*$D13</f>
        <v>200.20000000000002</v>
      </c>
      <c r="G13" s="9">
        <f>E21/D21</f>
        <v>2.9385227272727272</v>
      </c>
      <c r="H13" s="9">
        <f>F21/D21</f>
        <v>3.8597727272727278</v>
      </c>
      <c r="I13" s="1"/>
      <c r="J13" s="1"/>
    </row>
    <row r="14" spans="1:32">
      <c r="A14" s="1" t="s">
        <v>57</v>
      </c>
      <c r="B14" s="1">
        <v>2.2000000000000002</v>
      </c>
      <c r="C14" s="1">
        <v>1.78</v>
      </c>
      <c r="D14" s="1">
        <v>400</v>
      </c>
      <c r="E14" s="1">
        <f>D14*B14</f>
        <v>880.00000000000011</v>
      </c>
      <c r="F14" s="1">
        <f t="shared" ref="F14:F17" si="6">C14*$D14</f>
        <v>712</v>
      </c>
      <c r="G14" s="9"/>
      <c r="H14" s="1"/>
      <c r="I14" s="1"/>
      <c r="J14" s="1"/>
    </row>
    <row r="15" spans="1:32">
      <c r="A15" s="1" t="s">
        <v>58</v>
      </c>
      <c r="B15" s="1"/>
      <c r="C15" s="1"/>
      <c r="D15" s="1"/>
      <c r="E15" s="1">
        <f>D15*B15</f>
        <v>0</v>
      </c>
      <c r="F15" s="1">
        <f t="shared" si="6"/>
        <v>0</v>
      </c>
      <c r="G15" s="9"/>
      <c r="H15" s="1"/>
      <c r="I15" s="1"/>
      <c r="J15" s="1"/>
    </row>
    <row r="16" spans="1:32">
      <c r="A16" s="1"/>
      <c r="B16" s="1"/>
      <c r="C16" s="1"/>
      <c r="D16" s="1"/>
      <c r="E16" s="1">
        <f>D16*B16</f>
        <v>0</v>
      </c>
      <c r="F16" s="1">
        <f t="shared" si="6"/>
        <v>0</v>
      </c>
      <c r="G16" s="9"/>
      <c r="H16" s="1"/>
      <c r="I16" s="1"/>
      <c r="J16" s="1"/>
    </row>
    <row r="17" spans="1:46">
      <c r="A17" s="1" t="s">
        <v>59</v>
      </c>
      <c r="B17" s="1">
        <v>3.92</v>
      </c>
      <c r="C17" s="1">
        <v>6.45</v>
      </c>
      <c r="D17" s="1">
        <v>340</v>
      </c>
      <c r="E17" s="1">
        <f>D17*B17</f>
        <v>1332.8</v>
      </c>
      <c r="F17" s="1">
        <f t="shared" si="6"/>
        <v>2193</v>
      </c>
      <c r="G17" s="9"/>
      <c r="H17" s="1"/>
      <c r="I17" s="1"/>
      <c r="J17" s="1"/>
    </row>
    <row r="18" spans="1:46">
      <c r="A18" s="1" t="s">
        <v>60</v>
      </c>
      <c r="B18" s="1">
        <v>2.64</v>
      </c>
      <c r="C18" s="1">
        <v>4.6100000000000003</v>
      </c>
      <c r="D18" s="1">
        <v>800</v>
      </c>
      <c r="E18" s="1">
        <f>D18*B18</f>
        <v>2112</v>
      </c>
      <c r="F18" s="1">
        <f>C18*$D18</f>
        <v>3688.0000000000005</v>
      </c>
      <c r="G18" s="9"/>
      <c r="H18" s="1"/>
      <c r="I18" s="1"/>
      <c r="J18" s="1"/>
      <c r="AH18" s="41" t="s">
        <v>11</v>
      </c>
      <c r="AI18" s="41"/>
      <c r="AJ18" s="42" t="s">
        <v>61</v>
      </c>
      <c r="AK18" s="38" t="s">
        <v>62</v>
      </c>
      <c r="AL18" s="39"/>
      <c r="AM18" s="39"/>
      <c r="AN18" s="50" t="s">
        <v>63</v>
      </c>
      <c r="AO18" s="50"/>
      <c r="AP18" s="56" t="s">
        <v>64</v>
      </c>
      <c r="AQ18" s="56"/>
      <c r="AR18" s="56"/>
      <c r="AS18" s="52"/>
      <c r="AT18" s="49" t="s">
        <v>65</v>
      </c>
    </row>
    <row r="19" spans="1:46" ht="48.75" customHeight="1">
      <c r="A19" s="1" t="s">
        <v>66</v>
      </c>
      <c r="B19" s="1"/>
      <c r="C19" s="1"/>
      <c r="D19" s="1"/>
      <c r="E19" s="1"/>
      <c r="F19" s="1"/>
      <c r="G19" s="9"/>
      <c r="H19" s="1"/>
      <c r="I19" s="1"/>
      <c r="J19" s="1"/>
      <c r="X19" s="19"/>
      <c r="AH19" s="36"/>
      <c r="AI19" s="36"/>
      <c r="AJ19" s="45"/>
      <c r="AK19" s="46" t="s">
        <v>67</v>
      </c>
      <c r="AL19" s="47" t="s">
        <v>68</v>
      </c>
      <c r="AM19" s="51" t="s">
        <v>61</v>
      </c>
      <c r="AN19" s="58" t="s">
        <v>69</v>
      </c>
      <c r="AO19" s="58" t="s">
        <v>70</v>
      </c>
      <c r="AP19" s="57" t="s">
        <v>71</v>
      </c>
      <c r="AQ19" s="55" t="s">
        <v>72</v>
      </c>
      <c r="AR19" s="53" t="s">
        <v>73</v>
      </c>
      <c r="AS19" s="48" t="s">
        <v>74</v>
      </c>
      <c r="AT19" s="45"/>
    </row>
    <row r="20" spans="1:46">
      <c r="A20" s="1"/>
      <c r="B20" s="1"/>
      <c r="C20" s="1"/>
      <c r="D20" s="1"/>
      <c r="E20" s="1"/>
      <c r="F20" s="1"/>
      <c r="G20" s="9"/>
      <c r="H20" s="1"/>
      <c r="I20" s="1"/>
      <c r="J20" s="1"/>
      <c r="AH20" s="14">
        <v>1</v>
      </c>
      <c r="AI20" s="43" t="s">
        <v>23</v>
      </c>
      <c r="AJ20" s="33">
        <v>2.5</v>
      </c>
      <c r="AK20" s="14" t="s">
        <v>75</v>
      </c>
      <c r="AL20" s="14" t="s">
        <v>76</v>
      </c>
      <c r="AM20" s="14">
        <v>6</v>
      </c>
      <c r="AN20" s="54" t="s">
        <v>77</v>
      </c>
      <c r="AO20" s="60" t="s">
        <v>78</v>
      </c>
      <c r="AP20" s="20" t="s">
        <v>79</v>
      </c>
      <c r="AQ20" s="14" t="s">
        <v>76</v>
      </c>
      <c r="AR20" s="20" t="s">
        <v>80</v>
      </c>
      <c r="AS20" s="14">
        <v>6</v>
      </c>
      <c r="AT20" s="14">
        <v>2.5</v>
      </c>
    </row>
    <row r="21" spans="1:46">
      <c r="A21" s="1"/>
      <c r="B21" s="1"/>
      <c r="C21" s="1"/>
      <c r="D21" s="1">
        <f>SUM(D13:D20)</f>
        <v>1760</v>
      </c>
      <c r="E21" s="1">
        <f>SUM(E13:E18)</f>
        <v>5171.8</v>
      </c>
      <c r="F21" s="1">
        <f>SUM(F13:F18)</f>
        <v>6793.2000000000007</v>
      </c>
      <c r="G21" s="9"/>
      <c r="H21" s="1"/>
      <c r="I21" s="1"/>
      <c r="J21" s="1"/>
      <c r="AH21" s="14">
        <v>2</v>
      </c>
      <c r="AI21" s="43" t="s">
        <v>21</v>
      </c>
      <c r="AJ21" s="33">
        <v>3.3</v>
      </c>
      <c r="AK21" s="14" t="s">
        <v>81</v>
      </c>
      <c r="AL21" s="14" t="s">
        <v>76</v>
      </c>
      <c r="AM21" s="14">
        <v>6</v>
      </c>
      <c r="AN21" s="54" t="s">
        <v>77</v>
      </c>
      <c r="AO21" s="61"/>
      <c r="AP21" s="20" t="s">
        <v>79</v>
      </c>
      <c r="AQ21" s="14" t="s">
        <v>76</v>
      </c>
      <c r="AR21" s="20" t="s">
        <v>80</v>
      </c>
      <c r="AS21" s="14">
        <v>6</v>
      </c>
      <c r="AT21" s="14">
        <v>1.5</v>
      </c>
    </row>
    <row r="22" spans="1:46">
      <c r="A22" s="1"/>
      <c r="B22" s="1"/>
      <c r="C22" s="1"/>
      <c r="D22" s="1"/>
      <c r="E22" s="1"/>
      <c r="F22" s="1"/>
      <c r="G22" s="9"/>
      <c r="H22" s="1"/>
      <c r="I22" s="1"/>
      <c r="J22" s="1"/>
      <c r="Y22" s="19"/>
      <c r="AH22" s="14">
        <v>3</v>
      </c>
      <c r="AI22" s="43" t="s">
        <v>10</v>
      </c>
      <c r="AJ22" s="33">
        <v>40.1</v>
      </c>
      <c r="AK22" s="14" t="s">
        <v>81</v>
      </c>
      <c r="AL22" s="14" t="s">
        <v>82</v>
      </c>
      <c r="AM22" s="14">
        <v>50</v>
      </c>
      <c r="AN22" s="14" t="s">
        <v>83</v>
      </c>
      <c r="AO22" s="61"/>
      <c r="AP22" s="20" t="s">
        <v>79</v>
      </c>
      <c r="AQ22" s="14" t="s">
        <v>82</v>
      </c>
      <c r="AR22" s="20" t="s">
        <v>80</v>
      </c>
      <c r="AS22" s="14">
        <v>50</v>
      </c>
      <c r="AT22" s="14">
        <v>6</v>
      </c>
    </row>
    <row r="23" spans="1:46">
      <c r="A23" s="1"/>
      <c r="B23" s="1"/>
      <c r="C23" s="1"/>
      <c r="D23" s="1"/>
      <c r="E23" s="1"/>
      <c r="F23" s="1"/>
      <c r="G23" s="9"/>
      <c r="H23" s="1"/>
      <c r="I23" s="1"/>
      <c r="J23" s="1"/>
      <c r="AH23" s="14">
        <v>4</v>
      </c>
      <c r="AI23" s="43" t="s">
        <v>36</v>
      </c>
      <c r="AJ23" s="33">
        <v>7.5</v>
      </c>
      <c r="AK23" s="14" t="s">
        <v>75</v>
      </c>
      <c r="AL23" s="14" t="s">
        <v>76</v>
      </c>
      <c r="AM23" s="14">
        <v>10</v>
      </c>
      <c r="AN23" s="54" t="s">
        <v>77</v>
      </c>
      <c r="AO23" s="61"/>
      <c r="AP23" s="20" t="s">
        <v>79</v>
      </c>
      <c r="AQ23" s="14" t="s">
        <v>76</v>
      </c>
      <c r="AR23" s="20" t="s">
        <v>80</v>
      </c>
      <c r="AS23" s="14">
        <v>10</v>
      </c>
      <c r="AT23" s="14">
        <v>2.5</v>
      </c>
    </row>
    <row r="24" spans="1:46">
      <c r="A24" s="1"/>
      <c r="B24" s="1"/>
      <c r="C24" s="1"/>
      <c r="D24" s="1"/>
      <c r="E24" s="1"/>
      <c r="F24" s="1"/>
      <c r="G24" s="9"/>
      <c r="H24" s="1"/>
      <c r="I24" s="1"/>
      <c r="J24" s="1"/>
      <c r="AH24" s="14">
        <v>5</v>
      </c>
      <c r="AI24" s="43" t="s">
        <v>38</v>
      </c>
      <c r="AJ24" s="33">
        <v>8.5</v>
      </c>
      <c r="AK24" s="14" t="s">
        <v>75</v>
      </c>
      <c r="AL24" s="14" t="s">
        <v>76</v>
      </c>
      <c r="AM24" s="14">
        <v>10</v>
      </c>
      <c r="AN24" s="54" t="s">
        <v>77</v>
      </c>
      <c r="AO24" s="61"/>
      <c r="AP24" s="20" t="s">
        <v>79</v>
      </c>
      <c r="AQ24" s="14" t="s">
        <v>76</v>
      </c>
      <c r="AR24" s="20" t="s">
        <v>80</v>
      </c>
      <c r="AS24" s="14">
        <v>10</v>
      </c>
      <c r="AT24" s="14">
        <v>2.5</v>
      </c>
    </row>
    <row r="25" spans="1:46">
      <c r="A25" s="1"/>
      <c r="B25" s="1"/>
      <c r="C25" s="1"/>
      <c r="D25" s="1"/>
      <c r="E25" s="1"/>
      <c r="F25" s="1"/>
      <c r="G25" s="9"/>
      <c r="H25" s="1"/>
      <c r="I25" s="1"/>
      <c r="J25" s="1"/>
      <c r="AH25" s="14">
        <v>6</v>
      </c>
      <c r="AI25" s="43" t="s">
        <v>43</v>
      </c>
      <c r="AJ25" s="33">
        <v>8.1</v>
      </c>
      <c r="AK25" s="14" t="s">
        <v>75</v>
      </c>
      <c r="AL25" s="14" t="s">
        <v>76</v>
      </c>
      <c r="AM25" s="14">
        <v>10</v>
      </c>
      <c r="AN25" s="54" t="s">
        <v>77</v>
      </c>
      <c r="AO25" s="61"/>
      <c r="AP25" s="20" t="s">
        <v>79</v>
      </c>
      <c r="AQ25" s="14" t="s">
        <v>76</v>
      </c>
      <c r="AR25" s="20" t="s">
        <v>80</v>
      </c>
      <c r="AS25" s="14">
        <v>10</v>
      </c>
      <c r="AT25" s="14">
        <v>2.5</v>
      </c>
    </row>
    <row r="26" spans="1:46">
      <c r="A26" s="1"/>
      <c r="B26" s="1"/>
      <c r="C26" s="1"/>
      <c r="D26" s="1"/>
      <c r="E26" s="1"/>
      <c r="F26" s="1"/>
      <c r="G26" s="9"/>
      <c r="H26" s="1"/>
      <c r="I26" s="1"/>
      <c r="J26" s="1"/>
      <c r="AC26" s="19"/>
      <c r="AH26" s="14">
        <v>7</v>
      </c>
      <c r="AI26" s="44" t="s">
        <v>47</v>
      </c>
      <c r="AJ26" s="33">
        <v>24.7</v>
      </c>
      <c r="AK26" s="14" t="s">
        <v>81</v>
      </c>
      <c r="AL26" s="14" t="s">
        <v>84</v>
      </c>
      <c r="AM26" s="14">
        <v>32</v>
      </c>
      <c r="AN26" s="14" t="s">
        <v>83</v>
      </c>
      <c r="AO26" s="61"/>
      <c r="AP26" s="20" t="s">
        <v>79</v>
      </c>
      <c r="AQ26" s="14" t="s">
        <v>84</v>
      </c>
      <c r="AR26" s="20" t="s">
        <v>80</v>
      </c>
      <c r="AS26" s="14">
        <v>32</v>
      </c>
      <c r="AT26" s="14">
        <v>4</v>
      </c>
    </row>
    <row r="27" spans="1:46">
      <c r="A27" s="1"/>
      <c r="B27" s="1"/>
      <c r="C27" s="1"/>
      <c r="D27" s="1"/>
      <c r="E27" s="1"/>
      <c r="F27" s="1"/>
      <c r="G27" s="9"/>
      <c r="H27" s="1"/>
      <c r="I27" s="1"/>
      <c r="J27" s="1"/>
      <c r="AH27" s="14">
        <v>8</v>
      </c>
      <c r="AI27" s="43" t="s">
        <v>51</v>
      </c>
      <c r="AJ27" s="33">
        <v>5.0999999999999996</v>
      </c>
      <c r="AK27" s="14" t="s">
        <v>75</v>
      </c>
      <c r="AL27" s="14" t="s">
        <v>76</v>
      </c>
      <c r="AM27" s="14">
        <v>10</v>
      </c>
      <c r="AN27" s="54" t="s">
        <v>77</v>
      </c>
      <c r="AO27" s="62"/>
      <c r="AP27" s="20" t="s">
        <v>79</v>
      </c>
      <c r="AQ27" s="14" t="s">
        <v>76</v>
      </c>
      <c r="AR27" s="20" t="s">
        <v>80</v>
      </c>
      <c r="AS27" s="14">
        <v>10</v>
      </c>
      <c r="AT27" s="14">
        <v>2.5</v>
      </c>
    </row>
    <row r="28" spans="1:46" ht="59.25" customHeight="1">
      <c r="Y28" s="19"/>
      <c r="AM28" s="59" t="s">
        <v>85</v>
      </c>
    </row>
    <row r="30" spans="1:46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46">
      <c r="A31" s="38" t="s">
        <v>86</v>
      </c>
      <c r="B31" s="39"/>
      <c r="D31" s="17"/>
      <c r="E31" s="21"/>
      <c r="F31" s="17"/>
      <c r="G31" s="17"/>
      <c r="H31" s="17"/>
      <c r="I31" s="15"/>
      <c r="J31" s="17"/>
      <c r="K31" s="17"/>
      <c r="L31" s="17"/>
      <c r="M31" s="17"/>
      <c r="N31" s="17"/>
    </row>
    <row r="32" spans="1:46">
      <c r="A32" s="14" t="s">
        <v>87</v>
      </c>
      <c r="B32" s="14">
        <f>SUM(E9,H9,I9)</f>
        <v>14224</v>
      </c>
      <c r="D32" s="18"/>
      <c r="E32" s="17"/>
      <c r="F32" s="17"/>
      <c r="G32" s="17"/>
      <c r="H32" s="17"/>
      <c r="I32" s="15"/>
      <c r="J32" s="17"/>
      <c r="K32" s="17"/>
      <c r="L32" s="17"/>
      <c r="M32" s="17"/>
      <c r="N32" s="17"/>
    </row>
    <row r="33" spans="1:14">
      <c r="A33" s="14" t="s">
        <v>88</v>
      </c>
      <c r="B33" s="14">
        <f>(B32/220)</f>
        <v>64.654545454545456</v>
      </c>
      <c r="D33" s="18"/>
      <c r="E33" s="17"/>
      <c r="F33" s="17"/>
      <c r="G33" s="17"/>
      <c r="H33" s="17"/>
      <c r="I33" s="15"/>
      <c r="J33" s="17"/>
      <c r="K33" s="17"/>
      <c r="L33" s="17"/>
      <c r="M33" s="17"/>
      <c r="N33" s="17"/>
    </row>
    <row r="34" spans="1:14">
      <c r="A34" s="14" t="s">
        <v>89</v>
      </c>
      <c r="B34" s="14">
        <v>70</v>
      </c>
      <c r="D34" s="18"/>
      <c r="E34" s="17"/>
      <c r="F34" s="17"/>
      <c r="G34" s="17"/>
      <c r="H34" s="17"/>
      <c r="I34" s="15"/>
      <c r="J34" s="17"/>
      <c r="K34" s="17"/>
      <c r="L34" s="17"/>
      <c r="M34" s="17"/>
      <c r="N34" s="17"/>
    </row>
    <row r="35" spans="1:14">
      <c r="A35" s="16" t="s">
        <v>90</v>
      </c>
      <c r="B35" s="16" t="s">
        <v>91</v>
      </c>
      <c r="D35" s="18"/>
      <c r="E35" s="17"/>
      <c r="F35" s="17"/>
      <c r="G35" s="17"/>
      <c r="H35" s="17"/>
      <c r="I35" s="15"/>
      <c r="J35" s="17"/>
      <c r="K35" s="17"/>
      <c r="L35" s="17"/>
      <c r="M35" s="17"/>
      <c r="N35" s="17"/>
    </row>
    <row r="36" spans="1:14">
      <c r="A36" s="35" t="s">
        <v>92</v>
      </c>
      <c r="B36" s="35"/>
      <c r="D36" s="18"/>
      <c r="E36" s="17"/>
      <c r="F36" s="17"/>
      <c r="G36" s="17"/>
      <c r="H36" s="17"/>
      <c r="I36" s="15"/>
      <c r="J36" s="17"/>
      <c r="K36" s="17"/>
      <c r="L36" s="17"/>
      <c r="M36" s="17"/>
      <c r="N36" s="17"/>
    </row>
    <row r="37" spans="1:14">
      <c r="D37" s="18"/>
      <c r="E37" s="17"/>
      <c r="F37" s="17"/>
      <c r="G37" s="17"/>
      <c r="H37" s="17"/>
      <c r="I37" s="15"/>
      <c r="J37" s="17"/>
      <c r="K37" s="17"/>
      <c r="L37" s="17"/>
      <c r="M37" s="17"/>
      <c r="N37" s="17"/>
    </row>
    <row r="38" spans="1:14">
      <c r="D38" s="18"/>
      <c r="E38" s="17"/>
      <c r="F38" s="17"/>
      <c r="G38" s="17"/>
      <c r="H38" s="17"/>
      <c r="I38" s="15"/>
      <c r="J38" s="17"/>
      <c r="K38" s="17"/>
      <c r="L38" s="17"/>
      <c r="M38" s="17"/>
      <c r="N38" s="17"/>
    </row>
    <row r="39" spans="1:14"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</sheetData>
  <mergeCells count="11">
    <mergeCell ref="AO20:AO27"/>
    <mergeCell ref="AT18:AT19"/>
    <mergeCell ref="AP18:AS18"/>
    <mergeCell ref="AN18:AO18"/>
    <mergeCell ref="AH18:AI19"/>
    <mergeCell ref="AK18:AM18"/>
    <mergeCell ref="AJ18:AJ19"/>
    <mergeCell ref="A36:B36"/>
    <mergeCell ref="X3:Y3"/>
    <mergeCell ref="A11:J11"/>
    <mergeCell ref="A31:B3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C31A-4117-4873-B902-018F0F399B4A}">
  <dimension ref="A2:H9"/>
  <sheetViews>
    <sheetView workbookViewId="0">
      <selection activeCell="C19" sqref="C19"/>
    </sheetView>
  </sheetViews>
  <sheetFormatPr defaultRowHeight="15"/>
  <cols>
    <col min="1" max="1" width="18.5703125" customWidth="1"/>
    <col min="2" max="2" width="18.140625" customWidth="1"/>
    <col min="3" max="3" width="22.140625" customWidth="1"/>
    <col min="4" max="5" width="17.85546875" customWidth="1"/>
    <col min="6" max="6" width="18.28515625" customWidth="1"/>
    <col min="7" max="7" width="14.42578125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7</v>
      </c>
    </row>
    <row r="3" spans="1:8">
      <c r="A3" s="6" t="s">
        <v>93</v>
      </c>
      <c r="B3" s="1">
        <v>19</v>
      </c>
      <c r="C3" s="1">
        <v>19</v>
      </c>
      <c r="D3" s="1">
        <f>IF(B3&gt;6,INT((B3-6)/4)+1,1)</f>
        <v>4</v>
      </c>
      <c r="E3" s="1">
        <f>((D3-1)*60)+100</f>
        <v>280</v>
      </c>
      <c r="F3" s="3">
        <f>ROUNDUP(C3/4,)</f>
        <v>5</v>
      </c>
      <c r="G3" s="5">
        <v>100</v>
      </c>
      <c r="H3" s="1">
        <f>G3*F3</f>
        <v>500</v>
      </c>
    </row>
    <row r="4" spans="1:8">
      <c r="A4" s="6" t="s">
        <v>94</v>
      </c>
      <c r="B4" s="1">
        <v>17</v>
      </c>
      <c r="C4" s="1">
        <v>18</v>
      </c>
      <c r="D4" s="1">
        <f>IF(B4&gt;6,INT((B4-6)/4)+1,1)</f>
        <v>3</v>
      </c>
      <c r="E4" s="1">
        <f>((D4-1)*60)+100</f>
        <v>220</v>
      </c>
      <c r="F4" s="3">
        <f>ROUNDUP(C4/4,)</f>
        <v>5</v>
      </c>
      <c r="G4" s="5">
        <v>100</v>
      </c>
      <c r="H4" s="1">
        <f>G4*F4</f>
        <v>500</v>
      </c>
    </row>
    <row r="5" spans="1:8">
      <c r="A5" s="6" t="s">
        <v>95</v>
      </c>
      <c r="B5" s="1">
        <v>12</v>
      </c>
      <c r="C5" s="1">
        <v>14</v>
      </c>
      <c r="D5" s="1">
        <f t="shared" ref="D5" si="0">IF(B5&gt;6,INT((B5-6)/4)+1,1)</f>
        <v>2</v>
      </c>
      <c r="E5" s="1">
        <f t="shared" ref="E5" si="1">((D5-1)*60)+100</f>
        <v>160</v>
      </c>
      <c r="F5" s="3">
        <f>ROUNDUP(C5/4,)</f>
        <v>4</v>
      </c>
      <c r="G5" s="5">
        <v>100</v>
      </c>
      <c r="H5" s="1">
        <f t="shared" ref="H5" si="2">G5*F5</f>
        <v>400</v>
      </c>
    </row>
    <row r="6" spans="1:8">
      <c r="A6" s="6" t="s">
        <v>96</v>
      </c>
      <c r="B6" s="1">
        <v>9</v>
      </c>
      <c r="C6" s="1">
        <v>12</v>
      </c>
      <c r="D6" s="1">
        <f t="shared" ref="D6:D9" si="3">IF(B6&gt;6,INT((B6-6)/4)+1,1)</f>
        <v>1</v>
      </c>
      <c r="E6" s="1">
        <f t="shared" ref="E6:E9" si="4">((D6-1)*60)+100</f>
        <v>100</v>
      </c>
      <c r="F6" s="3">
        <f>ROUNDUP(C6/4,)</f>
        <v>3</v>
      </c>
      <c r="G6" s="5">
        <v>100</v>
      </c>
      <c r="H6" s="1">
        <f t="shared" ref="H6" si="5">G6*F6</f>
        <v>300</v>
      </c>
    </row>
    <row r="7" spans="1:8">
      <c r="A7" s="6" t="s">
        <v>97</v>
      </c>
      <c r="B7" s="1">
        <v>10.5</v>
      </c>
      <c r="C7" s="1">
        <v>13</v>
      </c>
      <c r="D7" s="1">
        <f>IF(B7&gt;6,INT((B7-6)/4)+1,1)</f>
        <v>2</v>
      </c>
      <c r="E7" s="1">
        <f t="shared" si="4"/>
        <v>160</v>
      </c>
      <c r="F7" s="3">
        <f>ROUNDUP(C7/3.5,)</f>
        <v>4</v>
      </c>
      <c r="G7" s="5" t="s">
        <v>98</v>
      </c>
      <c r="H7" s="1">
        <f>((F7-2)*600+2*100)</f>
        <v>1400</v>
      </c>
    </row>
    <row r="8" spans="1:8">
      <c r="A8" s="6" t="s">
        <v>99</v>
      </c>
      <c r="B8" s="1">
        <v>3</v>
      </c>
      <c r="C8" s="1">
        <v>7</v>
      </c>
      <c r="D8" s="1">
        <f t="shared" si="3"/>
        <v>1</v>
      </c>
      <c r="E8" s="1">
        <f t="shared" si="4"/>
        <v>100</v>
      </c>
      <c r="F8" s="3">
        <f t="shared" ref="F8:F9" si="6">ROUNDUP(C8/3.5,)</f>
        <v>2</v>
      </c>
      <c r="G8" s="5" t="s">
        <v>25</v>
      </c>
      <c r="H8" s="1">
        <f>F8*600</f>
        <v>1200</v>
      </c>
    </row>
    <row r="9" spans="1:8">
      <c r="A9" s="6" t="s">
        <v>100</v>
      </c>
      <c r="B9" s="1">
        <v>5</v>
      </c>
      <c r="C9" s="1">
        <v>9</v>
      </c>
      <c r="D9" s="1">
        <f t="shared" si="3"/>
        <v>1</v>
      </c>
      <c r="E9" s="1">
        <f t="shared" si="4"/>
        <v>100</v>
      </c>
      <c r="F9" s="3">
        <f t="shared" si="6"/>
        <v>3</v>
      </c>
      <c r="G9" s="5" t="s">
        <v>34</v>
      </c>
      <c r="H9" s="1">
        <f>F9*600</f>
        <v>1800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</dc:creator>
  <cp:keywords/>
  <dc:description/>
  <cp:lastModifiedBy>nilton dionisio guerra</cp:lastModifiedBy>
  <cp:revision/>
  <dcterms:created xsi:type="dcterms:W3CDTF">2020-08-06T17:51:48Z</dcterms:created>
  <dcterms:modified xsi:type="dcterms:W3CDTF">2021-09-14T19:16:47Z</dcterms:modified>
  <cp:category/>
  <cp:contentStatus/>
</cp:coreProperties>
</file>