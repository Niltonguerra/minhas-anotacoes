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185641\Downloads\"/>
    </mc:Choice>
  </mc:AlternateContent>
  <xr:revisionPtr revIDLastSave="0" documentId="13_ncr:1_{3173D6B7-267A-461F-8456-3461DFD4597A}" xr6:coauthVersionLast="47" xr6:coauthVersionMax="47" xr10:uidLastSave="{00000000-0000-0000-0000-000000000000}"/>
  <bookViews>
    <workbookView xWindow="0" yWindow="0" windowWidth="28800" windowHeight="12225" xr2:uid="{A1ED44CB-48E9-4B5F-8988-6F71480D0480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2" l="1"/>
  <c r="G11" i="1"/>
  <c r="G7" i="1"/>
  <c r="G13" i="2"/>
  <c r="G12" i="2"/>
  <c r="E12" i="2"/>
  <c r="I12" i="2" s="1"/>
  <c r="E13" i="2"/>
  <c r="I13" i="2" s="1"/>
  <c r="G15" i="2" l="1"/>
  <c r="G11" i="2"/>
  <c r="M12" i="2"/>
  <c r="G10" i="2"/>
  <c r="G5" i="2"/>
  <c r="G4" i="2"/>
  <c r="E11" i="2"/>
  <c r="I11" i="2" s="1"/>
  <c r="E5" i="2"/>
  <c r="E10" i="2"/>
  <c r="I10" i="2" s="1"/>
  <c r="K12" i="1"/>
  <c r="A16" i="1" s="1"/>
  <c r="C12" i="1"/>
  <c r="B12" i="1"/>
  <c r="I11" i="1"/>
  <c r="D11" i="1"/>
  <c r="F11" i="1" s="1"/>
  <c r="G10" i="1"/>
  <c r="I10" i="1" s="1"/>
  <c r="D10" i="1"/>
  <c r="F10" i="1" s="1"/>
  <c r="G9" i="1"/>
  <c r="I9" i="1" s="1"/>
  <c r="D9" i="1"/>
  <c r="F9" i="1" s="1"/>
  <c r="G8" i="1"/>
  <c r="I8" i="1" s="1"/>
  <c r="D8" i="1"/>
  <c r="F8" i="1" s="1"/>
  <c r="I7" i="1"/>
  <c r="D7" i="1"/>
  <c r="F7" i="1" s="1"/>
  <c r="G5" i="1"/>
  <c r="I5" i="1" s="1"/>
  <c r="D5" i="1"/>
  <c r="F5" i="1" s="1"/>
  <c r="G4" i="1"/>
  <c r="I4" i="1" s="1"/>
  <c r="D4" i="1"/>
  <c r="G3" i="1"/>
  <c r="G12" i="1" s="1"/>
  <c r="D3" i="1"/>
  <c r="F3" i="1" s="1"/>
  <c r="K10" i="2" l="1"/>
  <c r="D12" i="1"/>
  <c r="F12" i="1" s="1"/>
  <c r="F4" i="1"/>
  <c r="K12" i="2"/>
  <c r="K11" i="2"/>
  <c r="M11" i="2"/>
  <c r="M10" i="2"/>
  <c r="I3" i="1"/>
  <c r="I12" i="1" s="1"/>
  <c r="C4" i="2" l="1"/>
  <c r="E4" i="2" s="1"/>
  <c r="A15" i="1"/>
  <c r="K13" i="2"/>
  <c r="I5" i="2"/>
  <c r="K5" i="2" s="1"/>
  <c r="I4" i="2"/>
  <c r="K4" i="2" s="1"/>
  <c r="E14" i="2" l="1"/>
  <c r="E15" i="2"/>
  <c r="M13" i="2"/>
  <c r="M5" i="2"/>
  <c r="M4" i="2"/>
  <c r="I15" i="2" l="1"/>
  <c r="I14" i="2"/>
  <c r="A17" i="1"/>
  <c r="A20" i="1" s="1"/>
  <c r="K14" i="2" l="1"/>
  <c r="M14" i="2"/>
  <c r="K15" i="2"/>
  <c r="M15" i="2"/>
</calcChain>
</file>

<file path=xl/sharedStrings.xml><?xml version="1.0" encoding="utf-8"?>
<sst xmlns="http://schemas.openxmlformats.org/spreadsheetml/2006/main" count="106" uniqueCount="77">
  <si>
    <t>dimensoes</t>
  </si>
  <si>
    <t>Iluminação</t>
  </si>
  <si>
    <t>Tug</t>
  </si>
  <si>
    <t>TUE</t>
  </si>
  <si>
    <t>dependencias</t>
  </si>
  <si>
    <t>area (m²)</t>
  </si>
  <si>
    <t>perimetro (m)</t>
  </si>
  <si>
    <t>Qtd</t>
  </si>
  <si>
    <t>Potencia VA</t>
  </si>
  <si>
    <t>Potencia total  [VA]</t>
  </si>
  <si>
    <t>Potencia (VA)</t>
  </si>
  <si>
    <t>potencia Total (VA)</t>
  </si>
  <si>
    <t>Aparelho</t>
  </si>
  <si>
    <t>potencia (W)</t>
  </si>
  <si>
    <t>Sala</t>
  </si>
  <si>
    <t>6m²=100VA
4m²=60VA
2,25m²=Ø</t>
  </si>
  <si>
    <t>4x100</t>
  </si>
  <si>
    <t>Ø</t>
  </si>
  <si>
    <t>Sala de Jantar</t>
  </si>
  <si>
    <t xml:space="preserve">6m²=100VA
3,97m²=Ø
</t>
  </si>
  <si>
    <t xml:space="preserve">
4x100</t>
  </si>
  <si>
    <t>Cozinha</t>
  </si>
  <si>
    <t>6m²=100VA
4m²=60VA
4m²=60VA</t>
  </si>
  <si>
    <t>2x600</t>
  </si>
  <si>
    <t>Torneira Elétrica</t>
  </si>
  <si>
    <t>Microondas</t>
  </si>
  <si>
    <t>AServiço</t>
  </si>
  <si>
    <t>6m²=100VA
1 m²=Ø</t>
  </si>
  <si>
    <t>3x600
1x100</t>
  </si>
  <si>
    <t>Dormitório1</t>
  </si>
  <si>
    <t>Hall</t>
  </si>
  <si>
    <t>6m²=100VA</t>
  </si>
  <si>
    <t>2x100</t>
  </si>
  <si>
    <t>Dormitório 2</t>
  </si>
  <si>
    <t>6m²=100VA
4m²=60VA
0,5m²=Ø</t>
  </si>
  <si>
    <t>WC</t>
  </si>
  <si>
    <t>Chuveiro</t>
  </si>
  <si>
    <t>Total</t>
  </si>
  <si>
    <t>Fator de demanda</t>
  </si>
  <si>
    <t xml:space="preserve">Calcular a corrente total  (Ib) </t>
  </si>
  <si>
    <t xml:space="preserve">Cálculo do disjuntor Geral </t>
  </si>
  <si>
    <t xml:space="preserve">Ib  ≤   In ≤   Iz  </t>
  </si>
  <si>
    <t xml:space="preserve">   51,45 ≤ 63 ≤  68 </t>
  </si>
  <si>
    <t xml:space="preserve">Cálculo do condutor de alimentação </t>
  </si>
  <si>
    <t xml:space="preserve">CABO: 16mm²    Iz = 68A </t>
  </si>
  <si>
    <t>DIMENSIONAMENTO CABO ELETRICO</t>
  </si>
  <si>
    <t>CIRCUITO</t>
  </si>
  <si>
    <t>POTÊNCIA</t>
  </si>
  <si>
    <t>TENSÃO</t>
  </si>
  <si>
    <t>CORRENTE</t>
  </si>
  <si>
    <t>SECÇÃO MIN</t>
  </si>
  <si>
    <t>CORENTE CABO</t>
  </si>
  <si>
    <t>FATOR DE AGRUPAMENTO</t>
  </si>
  <si>
    <t>CORENTE CORRIGIDA</t>
  </si>
  <si>
    <t>FATOR DE TEMPERATURA</t>
  </si>
  <si>
    <t>CORRENTE DO PROJETO</t>
  </si>
  <si>
    <t>DISJUNTORES</t>
  </si>
  <si>
    <t>SITUÇÃO</t>
  </si>
  <si>
    <t>WATTS(W)</t>
  </si>
  <si>
    <t>VOLT(V)</t>
  </si>
  <si>
    <t>AMPER(A)</t>
  </si>
  <si>
    <t>MM²</t>
  </si>
  <si>
    <t>A</t>
  </si>
  <si>
    <t>FA</t>
  </si>
  <si>
    <t>FT</t>
  </si>
  <si>
    <t>IB</t>
  </si>
  <si>
    <t>V</t>
  </si>
  <si>
    <t>S-estar;
S. jantar
Dormitorio1
Dormitorio2
hall</t>
  </si>
  <si>
    <t>Aserviço</t>
  </si>
  <si>
    <t>vínculo</t>
  </si>
  <si>
    <t>Método instalação</t>
  </si>
  <si>
    <t>Nº circuitos agrupados</t>
  </si>
  <si>
    <t>fator de correção</t>
  </si>
  <si>
    <t>B1</t>
  </si>
  <si>
    <t>Número de condutores</t>
  </si>
  <si>
    <t>CABO</t>
  </si>
  <si>
    <t>mm²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</si>
</sst>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0.0"/>
    <numFmt numFmtId="166" formatCode="_-* #,##0.0_-;\-* #,##0.0_-;_-* &quot;-&quot;?_-;_-@_-"/>
  </numFmts>
  <fonts count="6">
    <font>
      <sz val="11"/>
      <color theme="1"/>
      <name val="Calibri"/>
      <family val="2"/>
      <scheme val="minor"/>
    </font>
    <font>
      <sz val="12"/>
      <color rgb="FF202124"/>
      <name val="Arial"/>
      <family val="2"/>
    </font>
    <font>
      <sz val="11"/>
      <color rgb="FF202124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88">
    <xf numFmtId="0" fontId="0" fillId="0" borderId="0" xfId="0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0" xfId="0" applyAlignment="1"/>
    <xf numFmtId="164" fontId="0" fillId="0" borderId="1" xfId="1" applyNumberFormat="1" applyFont="1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5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Drop" dropStyle="combo" dx="16" fmlaLink="$A$23" fmlaRange="$B$23:$B$27" noThreeD="1" sel="2" val="0"/>
</file>

<file path=xl/ctrlProps/ctrlProp2.xml><?xml version="1.0" encoding="utf-8"?>
<formControlPr xmlns="http://schemas.microsoft.com/office/spreadsheetml/2009/9/main" objectType="Drop" dropStyle="combo" dx="16" fmlaLink="$A$20" fmlaRange="$B$23:$B$27" noThreeD="1" sel="2" val="0"/>
</file>

<file path=xl/ctrlProps/ctrlProp3.xml><?xml version="1.0" encoding="utf-8"?>
<formControlPr xmlns="http://schemas.microsoft.com/office/spreadsheetml/2009/9/main" objectType="Drop" dropStyle="combo" dx="16" fmlaLink="$A$22" fmlaRange="$B$23:$B$27" noThreeD="1" sel="2" val="0"/>
</file>

<file path=xl/ctrlProps/ctrlProp4.xml><?xml version="1.0" encoding="utf-8"?>
<formControlPr xmlns="http://schemas.microsoft.com/office/spreadsheetml/2009/9/main" objectType="Drop" dropStyle="combo" dx="16" fmlaLink="$A$24" fmlaRange="$B$23:$B$27" noThreeD="1" sel="4" val="0"/>
</file>

<file path=xl/ctrlProps/ctrlProp5.xml><?xml version="1.0" encoding="utf-8"?>
<formControlPr xmlns="http://schemas.microsoft.com/office/spreadsheetml/2009/9/main" objectType="Drop" dropStyle="combo" dx="16" fmlaLink="$A$18" fmlaRange="$B$23:$B$27" noThreeD="1" sel="1" val="0"/>
</file>

<file path=xl/ctrlProps/ctrlProp6.xml><?xml version="1.0" encoding="utf-8"?>
<formControlPr xmlns="http://schemas.microsoft.com/office/spreadsheetml/2009/9/main" objectType="Drop" dropStyle="combo" dx="16" fmlaLink="$N$5" fmlaRange="$O$11:$O$16" noThreeD="1" sel="0" val="0"/>
</file>

<file path=xl/ctrlProps/ctrlProp7.xml><?xml version="1.0" encoding="utf-8"?>
<formControlPr xmlns="http://schemas.microsoft.com/office/spreadsheetml/2009/9/main" objectType="Drop" dropStyle="combo" dx="16" fmlaLink="#REF!" fmlaRange="$O$11:$O$16" noThreeD="1" sel="1" val="0"/>
</file>

<file path=xl/ctrlProps/ctrlProp8.xml><?xml version="1.0" encoding="utf-8"?>
<formControlPr xmlns="http://schemas.microsoft.com/office/spreadsheetml/2009/9/main" objectType="Drop" dropStyle="combo" dx="16" fmlaLink="#REF!" fmlaRange="$O$11:$O$16" noThreeD="1" sel="1" val="0"/>
</file>

<file path=xl/ctrlProps/ctrlProp9.xml><?xml version="1.0" encoding="utf-8"?>
<formControlPr xmlns="http://schemas.microsoft.com/office/spreadsheetml/2009/9/main" objectType="Drop" dropStyle="combo" dx="16" fmlaLink="$A$19" fmlaRange="$B$23:$B$27" noThreeD="1" sel="2" val="0"/>
</file>

<file path=xl/ctrlProps/ctrlProp10.xml><?xml version="1.0" encoding="utf-8"?>
<formControlPr xmlns="http://schemas.microsoft.com/office/spreadsheetml/2009/9/main" objectType="Drop" dropStyle="combo" dx="16" fmlaLink="$A$19" fmlaRange="$B$23:$B$27" noThreeD="1" sel="2" val="0"/>
</file>

<file path=xl/ctrlProps/ctrlProp11.xml><?xml version="1.0" encoding="utf-8"?>
<formControlPr xmlns="http://schemas.microsoft.com/office/spreadsheetml/2009/9/main" objectType="Drop" dropStyle="combo" dx="16" fmlaLink="$A$19" fmlaRange="$B$23:$B$27" noThreeD="1" sel="2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34304</xdr:colOff>
      <xdr:row>12</xdr:row>
      <xdr:rowOff>96237</xdr:rowOff>
    </xdr:from>
    <xdr:to>
      <xdr:col>6</xdr:col>
      <xdr:colOff>323850</xdr:colOff>
      <xdr:row>27</xdr:row>
      <xdr:rowOff>51746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3704" y="4230087"/>
          <a:ext cx="3804271" cy="28130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13</xdr:row>
          <xdr:rowOff>19050</xdr:rowOff>
        </xdr:from>
        <xdr:to>
          <xdr:col>6</xdr:col>
          <xdr:colOff>0</xdr:colOff>
          <xdr:row>13</xdr:row>
          <xdr:rowOff>180975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1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6</xdr:row>
          <xdr:rowOff>28575</xdr:rowOff>
        </xdr:from>
        <xdr:to>
          <xdr:col>6</xdr:col>
          <xdr:colOff>0</xdr:colOff>
          <xdr:row>7</xdr:row>
          <xdr:rowOff>0</xdr:rowOff>
        </xdr:to>
        <xdr:sp macro="" textlink="">
          <xdr:nvSpPr>
            <xdr:cNvPr id="1049" name="Drop Down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12</xdr:row>
          <xdr:rowOff>9525</xdr:rowOff>
        </xdr:from>
        <xdr:to>
          <xdr:col>6</xdr:col>
          <xdr:colOff>0</xdr:colOff>
          <xdr:row>12</xdr:row>
          <xdr:rowOff>171450</xdr:rowOff>
        </xdr:to>
        <xdr:sp macro="" textlink="">
          <xdr:nvSpPr>
            <xdr:cNvPr id="1051" name="Drop Down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1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14</xdr:row>
          <xdr:rowOff>9525</xdr:rowOff>
        </xdr:from>
        <xdr:to>
          <xdr:col>6</xdr:col>
          <xdr:colOff>0</xdr:colOff>
          <xdr:row>14</xdr:row>
          <xdr:rowOff>180975</xdr:rowOff>
        </xdr:to>
        <xdr:sp macro="" textlink="">
          <xdr:nvSpPr>
            <xdr:cNvPr id="1053" name="Drop Down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1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13</xdr:col>
      <xdr:colOff>493569</xdr:colOff>
      <xdr:row>0</xdr:row>
      <xdr:rowOff>51954</xdr:rowOff>
    </xdr:from>
    <xdr:to>
      <xdr:col>19</xdr:col>
      <xdr:colOff>346364</xdr:colOff>
      <xdr:row>20</xdr:row>
      <xdr:rowOff>96866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9228" y="51954"/>
          <a:ext cx="3489613" cy="418287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3</xdr:row>
          <xdr:rowOff>19050</xdr:rowOff>
        </xdr:from>
        <xdr:to>
          <xdr:col>6</xdr:col>
          <xdr:colOff>0</xdr:colOff>
          <xdr:row>3</xdr:row>
          <xdr:rowOff>171450</xdr:rowOff>
        </xdr:to>
        <xdr:sp macro="" textlink="">
          <xdr:nvSpPr>
            <xdr:cNvPr id="1059" name="Drop Down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1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19</xdr:col>
      <xdr:colOff>370417</xdr:colOff>
      <xdr:row>0</xdr:row>
      <xdr:rowOff>63500</xdr:rowOff>
    </xdr:from>
    <xdr:to>
      <xdr:col>26</xdr:col>
      <xdr:colOff>423646</xdr:colOff>
      <xdr:row>13</xdr:row>
      <xdr:rowOff>122244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08250" y="63500"/>
          <a:ext cx="4350063" cy="2844618"/>
        </a:xfrm>
        <a:prstGeom prst="rect">
          <a:avLst/>
        </a:prstGeom>
      </xdr:spPr>
    </xdr:pic>
    <xdr:clientData/>
  </xdr:twoCellAnchor>
  <xdr:twoCellAnchor editAs="oneCell">
    <xdr:from>
      <xdr:col>26</xdr:col>
      <xdr:colOff>551090</xdr:colOff>
      <xdr:row>0</xdr:row>
      <xdr:rowOff>103414</xdr:rowOff>
    </xdr:from>
    <xdr:to>
      <xdr:col>32</xdr:col>
      <xdr:colOff>450397</xdr:colOff>
      <xdr:row>12</xdr:row>
      <xdr:rowOff>29595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878" t="10588" r="22781" b="12353"/>
        <a:stretch/>
      </xdr:blipFill>
      <xdr:spPr>
        <a:xfrm>
          <a:off x="22782440" y="103414"/>
          <a:ext cx="3556907" cy="251732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9</xdr:row>
          <xdr:rowOff>19050</xdr:rowOff>
        </xdr:from>
        <xdr:to>
          <xdr:col>6</xdr:col>
          <xdr:colOff>0</xdr:colOff>
          <xdr:row>9</xdr:row>
          <xdr:rowOff>171450</xdr:rowOff>
        </xdr:to>
        <xdr:sp macro="" textlink="">
          <xdr:nvSpPr>
            <xdr:cNvPr id="1061" name="Drop Down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9</xdr:row>
          <xdr:rowOff>19050</xdr:rowOff>
        </xdr:from>
        <xdr:to>
          <xdr:col>6</xdr:col>
          <xdr:colOff>0</xdr:colOff>
          <xdr:row>9</xdr:row>
          <xdr:rowOff>171450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1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9</xdr:row>
          <xdr:rowOff>19050</xdr:rowOff>
        </xdr:from>
        <xdr:to>
          <xdr:col>6</xdr:col>
          <xdr:colOff>0</xdr:colOff>
          <xdr:row>9</xdr:row>
          <xdr:rowOff>171450</xdr:rowOff>
        </xdr:to>
        <xdr:sp macro="" textlink="">
          <xdr:nvSpPr>
            <xdr:cNvPr id="1063" name="Drop Down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1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9</xdr:row>
          <xdr:rowOff>19050</xdr:rowOff>
        </xdr:from>
        <xdr:to>
          <xdr:col>6</xdr:col>
          <xdr:colOff>0</xdr:colOff>
          <xdr:row>9</xdr:row>
          <xdr:rowOff>171450</xdr:rowOff>
        </xdr:to>
        <xdr:sp macro="" textlink="">
          <xdr:nvSpPr>
            <xdr:cNvPr id="1064" name="Drop Down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1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10</xdr:row>
          <xdr:rowOff>19050</xdr:rowOff>
        </xdr:from>
        <xdr:to>
          <xdr:col>6</xdr:col>
          <xdr:colOff>0</xdr:colOff>
          <xdr:row>10</xdr:row>
          <xdr:rowOff>171450</xdr:rowOff>
        </xdr:to>
        <xdr:sp macro="" textlink="">
          <xdr:nvSpPr>
            <xdr:cNvPr id="1065" name="Drop Down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1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11</xdr:row>
          <xdr:rowOff>19050</xdr:rowOff>
        </xdr:from>
        <xdr:to>
          <xdr:col>6</xdr:col>
          <xdr:colOff>0</xdr:colOff>
          <xdr:row>11</xdr:row>
          <xdr:rowOff>171450</xdr:rowOff>
        </xdr:to>
        <xdr:sp macro="" textlink="">
          <xdr:nvSpPr>
            <xdr:cNvPr id="1069" name="Drop Down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1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1825-B48C-45D0-B3FB-6895DAFD142C}">
  <dimension ref="A1:K29"/>
  <sheetViews>
    <sheetView tabSelected="1" zoomScaleNormal="100" workbookViewId="0">
      <selection activeCell="I11" sqref="I11"/>
    </sheetView>
  </sheetViews>
  <sheetFormatPr defaultRowHeight="15"/>
  <cols>
    <col min="1" max="1" width="33.140625" customWidth="1"/>
    <col min="2" max="2" width="9.140625" customWidth="1"/>
    <col min="3" max="3" width="14.28515625" customWidth="1"/>
    <col min="4" max="4" width="6.85546875" customWidth="1"/>
    <col min="5" max="5" width="13.7109375" customWidth="1"/>
    <col min="6" max="6" width="17.85546875" customWidth="1"/>
    <col min="7" max="7" width="9.85546875" customWidth="1"/>
    <col min="8" max="8" width="13.28515625" customWidth="1"/>
    <col min="9" max="9" width="19.7109375" customWidth="1"/>
    <col min="10" max="10" width="15.7109375" customWidth="1"/>
    <col min="11" max="11" width="13.7109375" customWidth="1"/>
    <col min="13" max="13" width="13.42578125" customWidth="1"/>
    <col min="14" max="14" width="14.85546875" customWidth="1"/>
    <col min="15" max="15" width="12.7109375" customWidth="1"/>
    <col min="16" max="16" width="15.5703125" customWidth="1"/>
    <col min="17" max="17" width="20.140625" customWidth="1"/>
    <col min="18" max="18" width="19.7109375" customWidth="1"/>
    <col min="19" max="19" width="21.7109375" customWidth="1"/>
    <col min="20" max="20" width="33.140625" customWidth="1"/>
  </cols>
  <sheetData>
    <row r="1" spans="1:11">
      <c r="A1" s="42"/>
      <c r="B1" s="53" t="s">
        <v>0</v>
      </c>
      <c r="C1" s="53"/>
      <c r="D1" s="53" t="s">
        <v>1</v>
      </c>
      <c r="E1" s="53"/>
      <c r="F1" s="53"/>
      <c r="G1" s="55" t="s">
        <v>2</v>
      </c>
      <c r="H1" s="56"/>
      <c r="I1" s="57"/>
      <c r="J1" s="53" t="s">
        <v>3</v>
      </c>
      <c r="K1" s="53"/>
    </row>
    <row r="2" spans="1:11" ht="33" customHeight="1">
      <c r="A2" s="42" t="s">
        <v>4</v>
      </c>
      <c r="B2" s="45" t="s">
        <v>5</v>
      </c>
      <c r="C2" s="45" t="s">
        <v>6</v>
      </c>
      <c r="D2" s="45" t="s">
        <v>7</v>
      </c>
      <c r="E2" s="45" t="s">
        <v>8</v>
      </c>
      <c r="F2" s="45" t="s">
        <v>9</v>
      </c>
      <c r="G2" s="45" t="s">
        <v>7</v>
      </c>
      <c r="H2" s="45" t="s">
        <v>10</v>
      </c>
      <c r="I2" s="45" t="s">
        <v>11</v>
      </c>
      <c r="J2" s="45" t="s">
        <v>12</v>
      </c>
      <c r="K2" s="45" t="s">
        <v>13</v>
      </c>
    </row>
    <row r="3" spans="1:11" ht="56.25" customHeight="1">
      <c r="A3" s="42" t="s">
        <v>14</v>
      </c>
      <c r="B3" s="43">
        <v>12.25</v>
      </c>
      <c r="C3" s="43">
        <v>14</v>
      </c>
      <c r="D3" s="43">
        <f>IF(B3&gt;6,INT((B3-6)/4)+1,1)</f>
        <v>2</v>
      </c>
      <c r="E3" s="44" t="s">
        <v>15</v>
      </c>
      <c r="F3" s="43">
        <f>((D3-1)*60)+100</f>
        <v>160</v>
      </c>
      <c r="G3" s="43">
        <f>IF(C3&gt;5,INT(ROUNDUP(C3,-1)/5),1)</f>
        <v>4</v>
      </c>
      <c r="H3" s="43" t="s">
        <v>16</v>
      </c>
      <c r="I3" s="43">
        <f>IF(OR(A3="cozinha",A3="wc",A3="AServiço"),IF(G3&lt;=3,G3*600,(3*600+(G3-3)*100)),G3*100)</f>
        <v>400</v>
      </c>
      <c r="J3" s="2" t="s">
        <v>17</v>
      </c>
      <c r="K3" s="2" t="s">
        <v>17</v>
      </c>
    </row>
    <row r="4" spans="1:11" ht="44.25" customHeight="1">
      <c r="A4" s="41" t="s">
        <v>18</v>
      </c>
      <c r="B4" s="51">
        <v>9.9700000000000006</v>
      </c>
      <c r="C4" s="51">
        <v>12.7</v>
      </c>
      <c r="D4" s="51">
        <f>IF(B4&gt;6,INT((B4-6)/4)+1,1)</f>
        <v>1</v>
      </c>
      <c r="E4" s="49" t="s">
        <v>19</v>
      </c>
      <c r="F4" s="51">
        <f>((D4-1)*60)+100</f>
        <v>100</v>
      </c>
      <c r="G4" s="51">
        <f>IF(C4&gt;5,INT(ROUNDUP(C4,-1)/5),1)</f>
        <v>4</v>
      </c>
      <c r="H4" s="49" t="s">
        <v>20</v>
      </c>
      <c r="I4" s="51">
        <f t="shared" ref="I4:I11" si="0">IF(OR(A4="cozinha",A4="wc",A4="AServiço"),IF(G4&lt;=3,G4*600,(3*600+(G4-3)*100)),G4*100)</f>
        <v>400</v>
      </c>
      <c r="J4" s="40" t="s">
        <v>17</v>
      </c>
      <c r="K4" s="40" t="s">
        <v>17</v>
      </c>
    </row>
    <row r="5" spans="1:11" ht="39" customHeight="1">
      <c r="A5" s="53" t="s">
        <v>21</v>
      </c>
      <c r="B5" s="54">
        <v>14</v>
      </c>
      <c r="C5" s="54">
        <v>15</v>
      </c>
      <c r="D5" s="54">
        <f>IF(B5&gt;6,INT((B5-6)/4)+1,1)</f>
        <v>3</v>
      </c>
      <c r="E5" s="58" t="s">
        <v>22</v>
      </c>
      <c r="F5" s="54">
        <f>((D5-1)*60)+100</f>
        <v>220</v>
      </c>
      <c r="G5" s="54">
        <f>IF(C5&gt;5,INT(ROUNDUP(C5,-1)/5),1)</f>
        <v>4</v>
      </c>
      <c r="H5" s="54" t="s">
        <v>23</v>
      </c>
      <c r="I5" s="54">
        <f>IF(OR(A5="cozinha",A5="wc",A5="AServiço"),IF(G5&lt;=3,G5*600,(3*600+(G5-3)*100)),G5*100)</f>
        <v>1900</v>
      </c>
      <c r="J5" s="43" t="s">
        <v>24</v>
      </c>
      <c r="K5" s="43">
        <v>3500</v>
      </c>
    </row>
    <row r="6" spans="1:11">
      <c r="A6" s="53"/>
      <c r="B6" s="54"/>
      <c r="C6" s="54"/>
      <c r="D6" s="54"/>
      <c r="E6" s="58"/>
      <c r="F6" s="54"/>
      <c r="G6" s="54"/>
      <c r="H6" s="54"/>
      <c r="I6" s="54"/>
      <c r="J6" s="3" t="s">
        <v>25</v>
      </c>
      <c r="K6" s="3">
        <v>1400</v>
      </c>
    </row>
    <row r="7" spans="1:11" ht="30">
      <c r="A7" s="42" t="s">
        <v>26</v>
      </c>
      <c r="B7" s="43">
        <v>7</v>
      </c>
      <c r="C7" s="43">
        <v>11</v>
      </c>
      <c r="D7" s="43">
        <f t="shared" ref="D7:D11" si="1">IF(B7&gt;6,INT((B7-6)/4)+1,1)</f>
        <v>1</v>
      </c>
      <c r="E7" s="44" t="s">
        <v>27</v>
      </c>
      <c r="F7" s="43">
        <f t="shared" ref="F7:F12" si="2">((D7-1)*60)+100</f>
        <v>100</v>
      </c>
      <c r="G7" s="43">
        <f>IF(C7&gt;5,INT(ROUNDUP(C7,-1)/5),1)</f>
        <v>4</v>
      </c>
      <c r="H7" s="44" t="s">
        <v>28</v>
      </c>
      <c r="I7" s="43">
        <f t="shared" si="0"/>
        <v>1900</v>
      </c>
      <c r="J7" s="2" t="s">
        <v>17</v>
      </c>
      <c r="K7" s="2" t="s">
        <v>17</v>
      </c>
    </row>
    <row r="8" spans="1:11" ht="45">
      <c r="A8" s="42" t="s">
        <v>29</v>
      </c>
      <c r="B8" s="43">
        <v>12.25</v>
      </c>
      <c r="C8" s="43">
        <v>14</v>
      </c>
      <c r="D8" s="43">
        <f t="shared" si="1"/>
        <v>2</v>
      </c>
      <c r="E8" s="44" t="s">
        <v>15</v>
      </c>
      <c r="F8" s="43">
        <f t="shared" si="2"/>
        <v>160</v>
      </c>
      <c r="G8" s="43">
        <f t="shared" ref="G8:G10" si="3">IF(C8&gt;5,INT(ROUNDUP(C8,-1)/5),1)</f>
        <v>4</v>
      </c>
      <c r="H8" s="43" t="s">
        <v>16</v>
      </c>
      <c r="I8" s="43">
        <f t="shared" si="0"/>
        <v>400</v>
      </c>
      <c r="J8" s="2" t="s">
        <v>17</v>
      </c>
      <c r="K8" s="2" t="s">
        <v>17</v>
      </c>
    </row>
    <row r="9" spans="1:11">
      <c r="A9" s="42" t="s">
        <v>30</v>
      </c>
      <c r="B9" s="43">
        <v>2.29</v>
      </c>
      <c r="C9" s="43">
        <v>6.1</v>
      </c>
      <c r="D9" s="43">
        <f t="shared" si="1"/>
        <v>1</v>
      </c>
      <c r="E9" s="44" t="s">
        <v>31</v>
      </c>
      <c r="F9" s="43">
        <f t="shared" si="2"/>
        <v>100</v>
      </c>
      <c r="G9" s="43">
        <f t="shared" si="3"/>
        <v>2</v>
      </c>
      <c r="H9" s="43" t="s">
        <v>32</v>
      </c>
      <c r="I9" s="43">
        <f t="shared" si="0"/>
        <v>200</v>
      </c>
      <c r="J9" s="2" t="s">
        <v>17</v>
      </c>
      <c r="K9" s="2" t="s">
        <v>17</v>
      </c>
    </row>
    <row r="10" spans="1:11" ht="51" customHeight="1">
      <c r="A10" s="42" t="s">
        <v>33</v>
      </c>
      <c r="B10" s="43">
        <v>10.5</v>
      </c>
      <c r="C10" s="43">
        <v>13</v>
      </c>
      <c r="D10" s="43">
        <f t="shared" si="1"/>
        <v>2</v>
      </c>
      <c r="E10" s="44" t="s">
        <v>34</v>
      </c>
      <c r="F10" s="43">
        <f t="shared" si="2"/>
        <v>160</v>
      </c>
      <c r="G10" s="43">
        <f t="shared" si="3"/>
        <v>4</v>
      </c>
      <c r="H10" s="43" t="s">
        <v>16</v>
      </c>
      <c r="I10" s="43">
        <f t="shared" si="0"/>
        <v>400</v>
      </c>
      <c r="J10" s="2" t="s">
        <v>17</v>
      </c>
      <c r="K10" s="2" t="s">
        <v>17</v>
      </c>
    </row>
    <row r="11" spans="1:11">
      <c r="A11" s="42" t="s">
        <v>35</v>
      </c>
      <c r="B11" s="43">
        <v>3.65</v>
      </c>
      <c r="C11" s="43">
        <v>7.7</v>
      </c>
      <c r="D11" s="43">
        <f t="shared" si="1"/>
        <v>1</v>
      </c>
      <c r="E11" s="44" t="s">
        <v>31</v>
      </c>
      <c r="F11" s="43">
        <f t="shared" si="2"/>
        <v>100</v>
      </c>
      <c r="G11" s="43">
        <f>IF(C11&gt;5,INT(ROUNDUP(C11,-1)/5),1)</f>
        <v>2</v>
      </c>
      <c r="H11" s="43" t="s">
        <v>23</v>
      </c>
      <c r="I11" s="43">
        <f t="shared" si="0"/>
        <v>1200</v>
      </c>
      <c r="J11" s="3" t="s">
        <v>36</v>
      </c>
      <c r="K11" s="3">
        <v>5400</v>
      </c>
    </row>
    <row r="12" spans="1:11">
      <c r="A12" s="42" t="s">
        <v>37</v>
      </c>
      <c r="B12" s="43">
        <f>SUM(B3:B11 )</f>
        <v>71.91</v>
      </c>
      <c r="C12" s="43">
        <f>SUM(C3:C11)</f>
        <v>93.5</v>
      </c>
      <c r="D12" s="4">
        <f>SUM(D3:D11)</f>
        <v>13</v>
      </c>
      <c r="E12" s="43"/>
      <c r="F12" s="4">
        <f t="shared" si="2"/>
        <v>820</v>
      </c>
      <c r="G12" s="4">
        <f>SUM(G3:G11)</f>
        <v>28</v>
      </c>
      <c r="H12" s="43"/>
      <c r="I12" s="4">
        <f>SUM(I3:I11)</f>
        <v>6800</v>
      </c>
      <c r="J12" s="2" t="s">
        <v>17</v>
      </c>
      <c r="K12" s="43">
        <f>SUM(K3:K11)</f>
        <v>10300</v>
      </c>
    </row>
    <row r="13" spans="1:11">
      <c r="E13" s="1"/>
    </row>
    <row r="14" spans="1:11">
      <c r="A14" s="42" t="s">
        <v>38</v>
      </c>
      <c r="B14" s="33"/>
      <c r="C14" s="30"/>
    </row>
    <row r="15" spans="1:11">
      <c r="A15" s="43">
        <f>SUM(F12+I12)*0.35</f>
        <v>2667</v>
      </c>
      <c r="B15" s="33"/>
      <c r="C15" s="30"/>
    </row>
    <row r="16" spans="1:11">
      <c r="A16" s="43">
        <f>K12*0.84</f>
        <v>8652</v>
      </c>
      <c r="B16" s="37"/>
    </row>
    <row r="17" spans="1:2">
      <c r="A17" s="43">
        <f>SUM(A15,A16)</f>
        <v>11319</v>
      </c>
      <c r="B17" s="34"/>
    </row>
    <row r="18" spans="1:2">
      <c r="B18" s="34"/>
    </row>
    <row r="19" spans="1:2">
      <c r="A19" s="42" t="s">
        <v>39</v>
      </c>
      <c r="B19" s="34"/>
    </row>
    <row r="20" spans="1:2">
      <c r="A20" s="32">
        <f>A17/220</f>
        <v>51.45</v>
      </c>
      <c r="B20" s="34"/>
    </row>
    <row r="21" spans="1:2">
      <c r="B21" s="34"/>
    </row>
    <row r="22" spans="1:2">
      <c r="A22" s="42" t="s">
        <v>40</v>
      </c>
      <c r="B22" s="34"/>
    </row>
    <row r="23" spans="1:2">
      <c r="A23" s="44" t="s">
        <v>41</v>
      </c>
      <c r="B23" s="34"/>
    </row>
    <row r="24" spans="1:2">
      <c r="A24" s="43" t="s">
        <v>42</v>
      </c>
      <c r="B24" s="34"/>
    </row>
    <row r="25" spans="1:2">
      <c r="B25" s="34"/>
    </row>
    <row r="26" spans="1:2">
      <c r="A26" s="42" t="s">
        <v>43</v>
      </c>
      <c r="B26" s="35"/>
    </row>
    <row r="27" spans="1:2">
      <c r="A27" s="43" t="s">
        <v>44</v>
      </c>
      <c r="B27" s="34"/>
    </row>
    <row r="28" spans="1:2">
      <c r="B28" s="34"/>
    </row>
    <row r="29" spans="1:2">
      <c r="B29" s="34"/>
    </row>
  </sheetData>
  <mergeCells count="13">
    <mergeCell ref="A5:A6"/>
    <mergeCell ref="B5:B6"/>
    <mergeCell ref="C5:C6"/>
    <mergeCell ref="D5:D6"/>
    <mergeCell ref="E5:E6"/>
    <mergeCell ref="J1:K1"/>
    <mergeCell ref="I5:I6"/>
    <mergeCell ref="B1:C1"/>
    <mergeCell ref="D1:F1"/>
    <mergeCell ref="G1:I1"/>
    <mergeCell ref="F5:F6"/>
    <mergeCell ref="G5:G6"/>
    <mergeCell ref="H5:H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B8FE-D082-46C2-B40A-F0B82034CB30}">
  <dimension ref="A1:T28"/>
  <sheetViews>
    <sheetView zoomScale="112" zoomScaleNormal="112" workbookViewId="0">
      <selection activeCell="I23" sqref="I23"/>
    </sheetView>
  </sheetViews>
  <sheetFormatPr defaultRowHeight="15"/>
  <cols>
    <col min="2" max="2" width="15.85546875" customWidth="1"/>
    <col min="3" max="3" width="11.7109375" customWidth="1"/>
    <col min="5" max="5" width="11.5703125" customWidth="1"/>
    <col min="6" max="6" width="14.5703125" customWidth="1"/>
    <col min="7" max="7" width="17" customWidth="1"/>
    <col min="8" max="8" width="23.85546875" customWidth="1"/>
    <col min="9" max="9" width="19" customWidth="1"/>
    <col min="10" max="11" width="23.42578125" bestFit="1" customWidth="1"/>
    <col min="12" max="12" width="23.42578125" customWidth="1"/>
    <col min="13" max="13" width="11.7109375" customWidth="1"/>
  </cols>
  <sheetData>
    <row r="1" spans="1:20">
      <c r="A1" s="55" t="s">
        <v>45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7"/>
    </row>
    <row r="2" spans="1:20" ht="33" customHeight="1">
      <c r="A2" s="81" t="s">
        <v>46</v>
      </c>
      <c r="B2" s="81" t="s">
        <v>4</v>
      </c>
      <c r="C2" s="45" t="s">
        <v>47</v>
      </c>
      <c r="D2" s="45" t="s">
        <v>48</v>
      </c>
      <c r="E2" s="45" t="s">
        <v>49</v>
      </c>
      <c r="F2" s="45" t="s">
        <v>50</v>
      </c>
      <c r="G2" s="45" t="s">
        <v>51</v>
      </c>
      <c r="H2" s="45" t="s">
        <v>52</v>
      </c>
      <c r="I2" s="45" t="s">
        <v>53</v>
      </c>
      <c r="J2" s="45" t="s">
        <v>54</v>
      </c>
      <c r="K2" s="45" t="s">
        <v>55</v>
      </c>
      <c r="L2" s="45" t="s">
        <v>56</v>
      </c>
      <c r="M2" s="45" t="s">
        <v>57</v>
      </c>
    </row>
    <row r="3" spans="1:20">
      <c r="A3" s="81"/>
      <c r="B3" s="81"/>
      <c r="C3" s="45" t="s">
        <v>58</v>
      </c>
      <c r="D3" s="45" t="s">
        <v>59</v>
      </c>
      <c r="E3" s="45" t="s">
        <v>60</v>
      </c>
      <c r="F3" s="45" t="s">
        <v>61</v>
      </c>
      <c r="G3" s="45" t="s">
        <v>62</v>
      </c>
      <c r="H3" s="45" t="s">
        <v>63</v>
      </c>
      <c r="I3" s="45" t="s">
        <v>62</v>
      </c>
      <c r="J3" s="45" t="s">
        <v>64</v>
      </c>
      <c r="K3" s="45" t="s">
        <v>65</v>
      </c>
      <c r="L3" s="45" t="s">
        <v>62</v>
      </c>
      <c r="M3" s="45" t="s">
        <v>66</v>
      </c>
    </row>
    <row r="4" spans="1:20">
      <c r="A4" s="46">
        <v>1</v>
      </c>
      <c r="B4" s="43" t="s">
        <v>1</v>
      </c>
      <c r="C4" s="43">
        <f>Planilha1!F12</f>
        <v>820</v>
      </c>
      <c r="D4" s="43">
        <v>127</v>
      </c>
      <c r="E4" s="31">
        <f>C4/D4</f>
        <v>6.4566929133858268</v>
      </c>
      <c r="F4" s="43"/>
      <c r="G4" s="43">
        <f>INDEX($C$23:$C$27,A18)</f>
        <v>17.5</v>
      </c>
      <c r="H4" s="48">
        <v>0.7</v>
      </c>
      <c r="I4" s="43">
        <f>G4*H4</f>
        <v>12.25</v>
      </c>
      <c r="J4" s="48">
        <v>0.94</v>
      </c>
      <c r="K4" s="32">
        <f>I4/J4</f>
        <v>13.031914893617023</v>
      </c>
      <c r="L4" s="38">
        <v>16</v>
      </c>
      <c r="M4" s="43" t="str">
        <f>IF(E4&lt;=I4,"ATENDE","NÃO ATENDE")</f>
        <v>ATENDE</v>
      </c>
      <c r="R4" s="5"/>
    </row>
    <row r="5" spans="1:20" ht="18" customHeight="1">
      <c r="A5" s="82">
        <v>2</v>
      </c>
      <c r="B5" s="59" t="s">
        <v>67</v>
      </c>
      <c r="C5" s="43">
        <v>400</v>
      </c>
      <c r="D5" s="54">
        <v>127</v>
      </c>
      <c r="E5" s="83">
        <f>SUM(C5:C9)/D5</f>
        <v>14.173228346456693</v>
      </c>
      <c r="F5" s="68"/>
      <c r="G5" s="54">
        <f>INDEX($C$23:$C$27,A19)</f>
        <v>24</v>
      </c>
      <c r="H5" s="87">
        <v>0.7</v>
      </c>
      <c r="I5" s="54">
        <f>G5*H5</f>
        <v>16.799999999999997</v>
      </c>
      <c r="J5" s="65">
        <v>0.94</v>
      </c>
      <c r="K5" s="62">
        <f>I5/J5</f>
        <v>17.872340425531913</v>
      </c>
      <c r="L5" s="84">
        <v>20</v>
      </c>
      <c r="M5" s="54" t="str">
        <f>IF(E5&lt;=I5,"ATENDE","NÃO ATENDE")</f>
        <v>ATENDE</v>
      </c>
      <c r="R5" s="5"/>
    </row>
    <row r="6" spans="1:20">
      <c r="A6" s="82"/>
      <c r="B6" s="60"/>
      <c r="C6" s="43">
        <v>400</v>
      </c>
      <c r="D6" s="54"/>
      <c r="E6" s="83"/>
      <c r="F6" s="60"/>
      <c r="G6" s="54"/>
      <c r="H6" s="87"/>
      <c r="I6" s="54"/>
      <c r="J6" s="66"/>
      <c r="K6" s="63"/>
      <c r="L6" s="85"/>
      <c r="M6" s="54"/>
      <c r="R6" s="5"/>
    </row>
    <row r="7" spans="1:20">
      <c r="A7" s="82"/>
      <c r="B7" s="60"/>
      <c r="C7" s="43">
        <v>400</v>
      </c>
      <c r="D7" s="54"/>
      <c r="E7" s="83"/>
      <c r="F7" s="60"/>
      <c r="G7" s="54"/>
      <c r="H7" s="87"/>
      <c r="I7" s="54"/>
      <c r="J7" s="66"/>
      <c r="K7" s="63"/>
      <c r="L7" s="85"/>
      <c r="M7" s="54"/>
      <c r="R7" s="5"/>
    </row>
    <row r="8" spans="1:20">
      <c r="A8" s="82"/>
      <c r="B8" s="60"/>
      <c r="C8" s="43">
        <v>400</v>
      </c>
      <c r="D8" s="54"/>
      <c r="E8" s="83"/>
      <c r="F8" s="60"/>
      <c r="G8" s="54"/>
      <c r="H8" s="87"/>
      <c r="I8" s="54"/>
      <c r="J8" s="66"/>
      <c r="K8" s="63"/>
      <c r="L8" s="85"/>
      <c r="M8" s="54"/>
      <c r="R8" s="5"/>
    </row>
    <row r="9" spans="1:20" ht="17.25" customHeight="1">
      <c r="A9" s="82"/>
      <c r="B9" s="61"/>
      <c r="C9" s="43">
        <v>200</v>
      </c>
      <c r="D9" s="54"/>
      <c r="E9" s="83"/>
      <c r="F9" s="61"/>
      <c r="G9" s="54"/>
      <c r="H9" s="87"/>
      <c r="I9" s="54"/>
      <c r="J9" s="67"/>
      <c r="K9" s="64"/>
      <c r="L9" s="86"/>
      <c r="M9" s="54"/>
      <c r="R9" s="14"/>
    </row>
    <row r="10" spans="1:20">
      <c r="A10" s="46">
        <v>3</v>
      </c>
      <c r="B10" s="43" t="s">
        <v>21</v>
      </c>
      <c r="C10" s="43">
        <v>1900</v>
      </c>
      <c r="D10" s="43">
        <v>127</v>
      </c>
      <c r="E10" s="47">
        <f>C10/D10</f>
        <v>14.960629921259843</v>
      </c>
      <c r="F10" s="43"/>
      <c r="G10" s="43">
        <f>INDEX($C$23:$C$27,A20)</f>
        <v>24</v>
      </c>
      <c r="H10" s="48">
        <v>0.7</v>
      </c>
      <c r="I10" s="52">
        <f>E10/H10</f>
        <v>21.372328458942633</v>
      </c>
      <c r="J10" s="48">
        <v>0.94</v>
      </c>
      <c r="K10" s="32">
        <f>I10/J10</f>
        <v>22.736519637173014</v>
      </c>
      <c r="L10" s="38">
        <v>20</v>
      </c>
      <c r="M10" s="43" t="str">
        <f>IF(E10&lt;=I10,"ATENDE","NÃO ATENDE")</f>
        <v>ATENDE</v>
      </c>
      <c r="N10">
        <v>1</v>
      </c>
      <c r="R10" s="5"/>
    </row>
    <row r="11" spans="1:20">
      <c r="A11" s="46">
        <v>4</v>
      </c>
      <c r="B11" s="50" t="s">
        <v>68</v>
      </c>
      <c r="C11" s="43">
        <v>1900</v>
      </c>
      <c r="D11" s="43">
        <v>127</v>
      </c>
      <c r="E11" s="47">
        <f>C11/D11</f>
        <v>14.960629921259843</v>
      </c>
      <c r="F11" s="7"/>
      <c r="G11" s="43">
        <f t="shared" ref="G11:G14" si="0">INDEX($C$23:$C$27,A21)</f>
        <v>24</v>
      </c>
      <c r="H11" s="48">
        <v>0.7</v>
      </c>
      <c r="I11" s="52">
        <f t="shared" ref="I11:I15" si="1">E11/H11</f>
        <v>21.372328458942633</v>
      </c>
      <c r="J11" s="48">
        <v>0.94</v>
      </c>
      <c r="K11" s="32">
        <f t="shared" ref="K11:K12" si="2">I11/J11</f>
        <v>22.736519637173014</v>
      </c>
      <c r="L11" s="38">
        <v>20</v>
      </c>
      <c r="M11" s="43" t="str">
        <f t="shared" ref="M11:M12" si="3">IF(E11&lt;=I11,"ATENDE","NÃO ATENDE")</f>
        <v>ATENDE</v>
      </c>
      <c r="R11" s="14"/>
    </row>
    <row r="12" spans="1:20">
      <c r="A12" s="46">
        <v>5</v>
      </c>
      <c r="B12" s="50" t="s">
        <v>35</v>
      </c>
      <c r="C12" s="43">
        <v>1200</v>
      </c>
      <c r="D12" s="43">
        <v>127</v>
      </c>
      <c r="E12" s="47">
        <f>C12/D12</f>
        <v>9.4488188976377945</v>
      </c>
      <c r="F12" s="7"/>
      <c r="G12" s="43">
        <f>INDEX($C$23:$C$27,A22)</f>
        <v>24</v>
      </c>
      <c r="H12" s="48">
        <v>0.7</v>
      </c>
      <c r="I12" s="52">
        <f t="shared" si="1"/>
        <v>13.498312710911136</v>
      </c>
      <c r="J12" s="48">
        <v>0.94</v>
      </c>
      <c r="K12" s="32">
        <f t="shared" si="2"/>
        <v>14.359907139267166</v>
      </c>
      <c r="L12" s="38">
        <v>20</v>
      </c>
      <c r="M12" s="43" t="str">
        <f t="shared" si="3"/>
        <v>ATENDE</v>
      </c>
      <c r="R12" s="14"/>
    </row>
    <row r="13" spans="1:20">
      <c r="A13" s="46">
        <v>6</v>
      </c>
      <c r="B13" s="43" t="s">
        <v>25</v>
      </c>
      <c r="C13" s="43">
        <v>1400</v>
      </c>
      <c r="D13" s="43">
        <v>220</v>
      </c>
      <c r="E13" s="47">
        <f>C13/D13</f>
        <v>6.3636363636363633</v>
      </c>
      <c r="F13" s="43"/>
      <c r="G13" s="43">
        <f>INDEX($C$23:$C$27,A22)</f>
        <v>24</v>
      </c>
      <c r="H13" s="48">
        <v>0.7</v>
      </c>
      <c r="I13" s="52">
        <f t="shared" si="1"/>
        <v>9.0909090909090917</v>
      </c>
      <c r="J13" s="48">
        <v>0.94</v>
      </c>
      <c r="K13" s="32">
        <f>I13/J13</f>
        <v>9.6711798839458432</v>
      </c>
      <c r="L13" s="38">
        <v>16</v>
      </c>
      <c r="M13" s="43" t="str">
        <f>IF(E13&lt;=I13,"ATENDE","NÃO ATENDE")</f>
        <v>ATENDE</v>
      </c>
      <c r="R13" s="14"/>
      <c r="T13" s="5"/>
    </row>
    <row r="14" spans="1:20">
      <c r="A14" s="46">
        <v>7</v>
      </c>
      <c r="B14" s="43" t="s">
        <v>24</v>
      </c>
      <c r="C14" s="43">
        <v>3500</v>
      </c>
      <c r="D14" s="43">
        <v>220</v>
      </c>
      <c r="E14" s="47">
        <f t="shared" ref="E14:E15" si="4">C14/D14</f>
        <v>15.909090909090908</v>
      </c>
      <c r="F14" s="43"/>
      <c r="G14" s="43">
        <f>INDEX($C$23:$C$27,A23)</f>
        <v>24</v>
      </c>
      <c r="H14" s="48">
        <v>0.8</v>
      </c>
      <c r="I14" s="52">
        <f t="shared" si="1"/>
        <v>19.886363636363633</v>
      </c>
      <c r="J14" s="48">
        <v>0.94</v>
      </c>
      <c r="K14" s="32">
        <f t="shared" ref="K14:K15" si="5">I14/J14</f>
        <v>21.155705996131527</v>
      </c>
      <c r="L14" s="38">
        <v>20</v>
      </c>
      <c r="M14" s="43" t="str">
        <f>IF(E14&lt;=I14,"ATENDE","NÃO ATENDE")</f>
        <v>ATENDE</v>
      </c>
      <c r="R14" s="14"/>
      <c r="S14" s="5"/>
      <c r="T14" s="5"/>
    </row>
    <row r="15" spans="1:20">
      <c r="A15" s="46">
        <v>8</v>
      </c>
      <c r="B15" s="43" t="s">
        <v>36</v>
      </c>
      <c r="C15" s="43">
        <v>5400</v>
      </c>
      <c r="D15" s="43">
        <v>220</v>
      </c>
      <c r="E15" s="47">
        <f t="shared" si="4"/>
        <v>24.545454545454547</v>
      </c>
      <c r="F15" s="43"/>
      <c r="G15" s="43">
        <f>INDEX($C$23:$C$27,A24)</f>
        <v>41</v>
      </c>
      <c r="H15" s="48">
        <v>0.8</v>
      </c>
      <c r="I15" s="52">
        <f t="shared" si="1"/>
        <v>30.681818181818183</v>
      </c>
      <c r="J15" s="48">
        <v>0.87</v>
      </c>
      <c r="K15" s="32">
        <f t="shared" si="5"/>
        <v>35.266457680250788</v>
      </c>
      <c r="L15" s="38">
        <v>40</v>
      </c>
      <c r="M15" s="43" t="str">
        <f>IF(E15&lt;=I15,"ATENDE","NÃO ATENDE")</f>
        <v>ATENDE</v>
      </c>
      <c r="R15" s="14"/>
      <c r="S15" s="5"/>
      <c r="T15" s="5"/>
    </row>
    <row r="16" spans="1:20" ht="15.75" thickBot="1">
      <c r="A16" s="5"/>
      <c r="R16" s="14"/>
      <c r="S16" s="5"/>
      <c r="T16" s="5"/>
    </row>
    <row r="17" spans="1:16" ht="15.75" customHeight="1" thickBot="1">
      <c r="A17" s="28" t="s">
        <v>69</v>
      </c>
      <c r="B17" s="75" t="s">
        <v>70</v>
      </c>
      <c r="C17" s="76"/>
      <c r="D17" s="77"/>
      <c r="F17" s="71" t="s">
        <v>71</v>
      </c>
      <c r="G17" s="73" t="s">
        <v>72</v>
      </c>
      <c r="I17" s="36"/>
    </row>
    <row r="18" spans="1:16" ht="15.75" thickBot="1">
      <c r="A18" s="29">
        <v>1</v>
      </c>
      <c r="B18" s="78" t="s">
        <v>73</v>
      </c>
      <c r="C18" s="79"/>
      <c r="D18" s="80"/>
      <c r="F18" s="72"/>
      <c r="G18" s="74"/>
      <c r="I18" s="36"/>
    </row>
    <row r="19" spans="1:16">
      <c r="A19" s="29">
        <v>2</v>
      </c>
      <c r="B19" s="75" t="s">
        <v>74</v>
      </c>
      <c r="C19" s="76"/>
      <c r="D19" s="77"/>
      <c r="F19" s="8">
        <v>1</v>
      </c>
      <c r="G19" s="9">
        <v>1</v>
      </c>
      <c r="I19" s="36"/>
    </row>
    <row r="20" spans="1:16" ht="15.75" thickBot="1">
      <c r="A20" s="36">
        <v>2</v>
      </c>
      <c r="B20" s="43"/>
      <c r="C20" s="51">
        <v>2</v>
      </c>
      <c r="D20" s="10">
        <v>3</v>
      </c>
      <c r="F20" s="11">
        <v>2</v>
      </c>
      <c r="G20" s="12">
        <v>0.8</v>
      </c>
      <c r="I20" s="36"/>
    </row>
    <row r="21" spans="1:16">
      <c r="A21" s="29">
        <v>2</v>
      </c>
      <c r="B21" s="39" t="s">
        <v>75</v>
      </c>
      <c r="C21" s="69" t="s">
        <v>49</v>
      </c>
      <c r="D21" s="70"/>
      <c r="F21" s="11">
        <v>3</v>
      </c>
      <c r="G21" s="12">
        <v>0.7</v>
      </c>
      <c r="I21" s="36"/>
    </row>
    <row r="22" spans="1:16" ht="15.75" thickBot="1">
      <c r="A22" s="29">
        <v>2</v>
      </c>
      <c r="B22" s="15" t="s">
        <v>76</v>
      </c>
      <c r="C22" s="16" t="s">
        <v>62</v>
      </c>
      <c r="D22" s="17"/>
      <c r="F22" s="11">
        <v>4</v>
      </c>
      <c r="G22" s="12">
        <v>0.65</v>
      </c>
      <c r="I22" s="36"/>
    </row>
    <row r="23" spans="1:16" ht="15.75" thickBot="1">
      <c r="A23" s="29">
        <v>2</v>
      </c>
      <c r="B23" s="13">
        <v>1.5</v>
      </c>
      <c r="C23" s="18">
        <v>17.5</v>
      </c>
      <c r="D23" s="19">
        <v>15.5</v>
      </c>
      <c r="F23" s="20">
        <v>5</v>
      </c>
      <c r="G23" s="21">
        <v>0.6</v>
      </c>
      <c r="I23" s="36"/>
    </row>
    <row r="24" spans="1:16">
      <c r="A24" s="29">
        <v>4</v>
      </c>
      <c r="B24" s="22">
        <v>2.5</v>
      </c>
      <c r="C24" s="44">
        <v>24</v>
      </c>
      <c r="D24" s="23">
        <v>21</v>
      </c>
      <c r="I24" s="36"/>
      <c r="P24" s="6">
        <v>127</v>
      </c>
    </row>
    <row r="25" spans="1:16">
      <c r="A25" s="29">
        <v>2</v>
      </c>
      <c r="B25" s="22">
        <v>4</v>
      </c>
      <c r="C25" s="44">
        <v>32</v>
      </c>
      <c r="D25" s="23">
        <v>28</v>
      </c>
      <c r="I25" s="36"/>
      <c r="P25" s="6">
        <v>220</v>
      </c>
    </row>
    <row r="26" spans="1:16">
      <c r="A26" s="29"/>
      <c r="B26" s="22">
        <v>6</v>
      </c>
      <c r="C26" s="44">
        <v>41</v>
      </c>
      <c r="D26" s="23">
        <v>36</v>
      </c>
      <c r="I26" s="36"/>
    </row>
    <row r="27" spans="1:16" ht="15.75" thickBot="1">
      <c r="A27" s="24"/>
      <c r="B27" s="25">
        <v>10</v>
      </c>
      <c r="C27" s="26">
        <v>57</v>
      </c>
      <c r="D27" s="27">
        <v>50</v>
      </c>
      <c r="I27" s="36"/>
    </row>
    <row r="28" spans="1:16">
      <c r="I28" s="36"/>
    </row>
  </sheetData>
  <mergeCells count="21">
    <mergeCell ref="C21:D21"/>
    <mergeCell ref="F17:F18"/>
    <mergeCell ref="G17:G18"/>
    <mergeCell ref="A1:M1"/>
    <mergeCell ref="B17:D17"/>
    <mergeCell ref="B18:D18"/>
    <mergeCell ref="B19:D19"/>
    <mergeCell ref="M5:M9"/>
    <mergeCell ref="A2:A3"/>
    <mergeCell ref="A5:A9"/>
    <mergeCell ref="B2:B3"/>
    <mergeCell ref="D5:D9"/>
    <mergeCell ref="E5:E9"/>
    <mergeCell ref="L5:L9"/>
    <mergeCell ref="I5:I9"/>
    <mergeCell ref="H5:H9"/>
    <mergeCell ref="G5:G9"/>
    <mergeCell ref="B5:B9"/>
    <mergeCell ref="K5:K9"/>
    <mergeCell ref="J5:J9"/>
    <mergeCell ref="F5:F9"/>
  </mergeCells>
  <conditionalFormatting sqref="M4">
    <cfRule type="cellIs" dxfId="7" priority="10" operator="equal">
      <formula>"ATENDE"</formula>
    </cfRule>
  </conditionalFormatting>
  <conditionalFormatting sqref="M4">
    <cfRule type="cellIs" dxfId="6" priority="9" operator="equal">
      <formula>"NÃO ATENDE"</formula>
    </cfRule>
  </conditionalFormatting>
  <conditionalFormatting sqref="M13:M15">
    <cfRule type="cellIs" dxfId="5" priority="7" operator="equal">
      <formula>"NÃO ATENDE"</formula>
    </cfRule>
    <cfRule type="cellIs" dxfId="4" priority="8" operator="equal">
      <formula>"ATENDE"</formula>
    </cfRule>
  </conditionalFormatting>
  <conditionalFormatting sqref="M5:M9">
    <cfRule type="cellIs" dxfId="3" priority="5" operator="equal">
      <formula>"NÃOATENDE"</formula>
    </cfRule>
    <cfRule type="cellIs" dxfId="2" priority="6" operator="equal">
      <formula>"ATENDE"</formula>
    </cfRule>
  </conditionalFormatting>
  <conditionalFormatting sqref="M10:M12">
    <cfRule type="cellIs" dxfId="1" priority="2" operator="equal">
      <formula>"ATENDE"</formula>
    </cfRule>
  </conditionalFormatting>
  <conditionalFormatting sqref="M10:M12">
    <cfRule type="cellIs" dxfId="0" priority="1" operator="equal">
      <formula>"NÃO ATENDE"</formula>
    </cfRule>
  </conditionalFormatting>
  <dataValidations count="3">
    <dataValidation type="list" allowBlank="1" showInputMessage="1" showErrorMessage="1" sqref="D10:D15 D4:D5" xr:uid="{84C63344-EFDF-4AD6-830E-90A132B8CBC7}">
      <formula1>$P$24:$P$25</formula1>
    </dataValidation>
    <dataValidation type="list" allowBlank="1" showInputMessage="1" showErrorMessage="1" sqref="J10:J15 J4:J5" xr:uid="{78A2182A-6559-4F09-BEA7-48EA0B59EF66}">
      <mc:AlternateContent xmlns:x12ac="http://schemas.microsoft.com/office/spreadsheetml/2011/1/ac" xmlns:mc="http://schemas.openxmlformats.org/markup-compatibility/2006">
        <mc:Choice Requires="x12ac">
          <x12ac:list>"0,94","0,87","0,79","0,71","0,61",050</x12ac:list>
        </mc:Choice>
        <mc:Fallback>
          <formula1>"0,94,0,87,0,79,0,71,0,61,050"</formula1>
        </mc:Fallback>
      </mc:AlternateContent>
    </dataValidation>
    <dataValidation type="list" allowBlank="1" showInputMessage="1" showErrorMessage="1" sqref="H4:H15" xr:uid="{5ED31D7B-B122-4A94-9E98-759C286ADF92}">
      <formula1>$G$19:$G$23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6" r:id="rId4" name="Drop Down 22">
              <controlPr defaultSize="0" autoLine="0" autoPict="0">
                <anchor moveWithCells="1">
                  <from>
                    <xdr:col>5</xdr:col>
                    <xdr:colOff>19050</xdr:colOff>
                    <xdr:row>13</xdr:row>
                    <xdr:rowOff>19050</xdr:rowOff>
                  </from>
                  <to>
                    <xdr:col>6</xdr:col>
                    <xdr:colOff>0</xdr:colOff>
                    <xdr:row>13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5" name="Drop Down 25">
              <controlPr defaultSize="0" autoLine="0" autoPict="0">
                <anchor moveWithCells="1">
                  <from>
                    <xdr:col>5</xdr:col>
                    <xdr:colOff>9525</xdr:colOff>
                    <xdr:row>6</xdr:row>
                    <xdr:rowOff>28575</xdr:rowOff>
                  </from>
                  <to>
                    <xdr:col>6</xdr:col>
                    <xdr:colOff>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6" name="Drop Down 27">
              <controlPr defaultSize="0" autoLine="0" autoPict="0">
                <anchor moveWithCells="1">
                  <from>
                    <xdr:col>5</xdr:col>
                    <xdr:colOff>19050</xdr:colOff>
                    <xdr:row>12</xdr:row>
                    <xdr:rowOff>9525</xdr:rowOff>
                  </from>
                  <to>
                    <xdr:col>6</xdr:col>
                    <xdr:colOff>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7" name="Drop Down 29">
              <controlPr defaultSize="0" autoLine="0" autoPict="0">
                <anchor moveWithCells="1">
                  <from>
                    <xdr:col>5</xdr:col>
                    <xdr:colOff>9525</xdr:colOff>
                    <xdr:row>14</xdr:row>
                    <xdr:rowOff>9525</xdr:rowOff>
                  </from>
                  <to>
                    <xdr:col>6</xdr:col>
                    <xdr:colOff>0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8" name="Drop Down 35">
              <controlPr defaultSize="0" autoLine="0" autoPict="0">
                <anchor moveWithCells="1">
                  <from>
                    <xdr:col>5</xdr:col>
                    <xdr:colOff>19050</xdr:colOff>
                    <xdr:row>3</xdr:row>
                    <xdr:rowOff>19050</xdr:rowOff>
                  </from>
                  <to>
                    <xdr:col>6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9" name="Drop Down 37">
              <controlPr defaultSize="0" autoLine="0" autoPict="0">
                <anchor moveWithCells="1">
                  <from>
                    <xdr:col>5</xdr:col>
                    <xdr:colOff>19050</xdr:colOff>
                    <xdr:row>9</xdr:row>
                    <xdr:rowOff>19050</xdr:rowOff>
                  </from>
                  <to>
                    <xdr:col>6</xdr:col>
                    <xdr:colOff>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0" name="Drop Down 38">
              <controlPr defaultSize="0" autoLine="0" autoPict="0">
                <anchor moveWithCells="1">
                  <from>
                    <xdr:col>5</xdr:col>
                    <xdr:colOff>19050</xdr:colOff>
                    <xdr:row>9</xdr:row>
                    <xdr:rowOff>19050</xdr:rowOff>
                  </from>
                  <to>
                    <xdr:col>6</xdr:col>
                    <xdr:colOff>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11" name="Drop Down 39">
              <controlPr defaultSize="0" autoLine="0" autoPict="0">
                <anchor moveWithCells="1">
                  <from>
                    <xdr:col>5</xdr:col>
                    <xdr:colOff>19050</xdr:colOff>
                    <xdr:row>9</xdr:row>
                    <xdr:rowOff>19050</xdr:rowOff>
                  </from>
                  <to>
                    <xdr:col>6</xdr:col>
                    <xdr:colOff>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12" name="Drop Down 40">
              <controlPr defaultSize="0" autoLine="0" autoPict="0">
                <anchor moveWithCells="1">
                  <from>
                    <xdr:col>5</xdr:col>
                    <xdr:colOff>19050</xdr:colOff>
                    <xdr:row>9</xdr:row>
                    <xdr:rowOff>19050</xdr:rowOff>
                  </from>
                  <to>
                    <xdr:col>6</xdr:col>
                    <xdr:colOff>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13" name="Drop Down 41">
              <controlPr defaultSize="0" autoLine="0" autoPict="0">
                <anchor moveWithCells="1">
                  <from>
                    <xdr:col>5</xdr:col>
                    <xdr:colOff>19050</xdr:colOff>
                    <xdr:row>10</xdr:row>
                    <xdr:rowOff>19050</xdr:rowOff>
                  </from>
                  <to>
                    <xdr:col>6</xdr:col>
                    <xdr:colOff>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14" name="Drop Down 45">
              <controlPr defaultSize="0" autoLine="0" autoPict="0">
                <anchor moveWithCells="1">
                  <from>
                    <xdr:col>5</xdr:col>
                    <xdr:colOff>19050</xdr:colOff>
                    <xdr:row>11</xdr:row>
                    <xdr:rowOff>19050</xdr:rowOff>
                  </from>
                  <to>
                    <xdr:col>6</xdr:col>
                    <xdr:colOff>0</xdr:colOff>
                    <xdr:row>11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5859BA75B0B24CBFD82B80A0577E0F" ma:contentTypeVersion="6" ma:contentTypeDescription="Crie um novo documento." ma:contentTypeScope="" ma:versionID="24dfd5aec2abed6b4b951a8fb50a18f0">
  <xsd:schema xmlns:xsd="http://www.w3.org/2001/XMLSchema" xmlns:xs="http://www.w3.org/2001/XMLSchema" xmlns:p="http://schemas.microsoft.com/office/2006/metadata/properties" xmlns:ns2="6a6ab6a4-54fc-435c-ab2a-83512e1b3d84" targetNamespace="http://schemas.microsoft.com/office/2006/metadata/properties" ma:root="true" ma:fieldsID="3835c683c31e2b817e383dc6d283a3c8" ns2:_="">
    <xsd:import namespace="6a6ab6a4-54fc-435c-ab2a-83512e1b3d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6ab6a4-54fc-435c-ab2a-83512e1b3d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CFA6AE-50FA-412F-B35B-1E82EDB58163}"/>
</file>

<file path=customXml/itemProps2.xml><?xml version="1.0" encoding="utf-8"?>
<ds:datastoreItem xmlns:ds="http://schemas.openxmlformats.org/officeDocument/2006/customXml" ds:itemID="{B59CC4EC-E9DE-4CDF-AD96-ED7B74F56665}"/>
</file>

<file path=customXml/itemProps3.xml><?xml version="1.0" encoding="utf-8"?>
<ds:datastoreItem xmlns:ds="http://schemas.openxmlformats.org/officeDocument/2006/customXml" ds:itemID="{24E039EE-CE43-4B8C-A047-F78BABF2AD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COSTA FERREIRA</dc:creator>
  <cp:keywords/>
  <dc:description/>
  <cp:lastModifiedBy>NILTON DIONISIO GUERRA</cp:lastModifiedBy>
  <cp:revision/>
  <dcterms:created xsi:type="dcterms:W3CDTF">2021-08-09T17:07:26Z</dcterms:created>
  <dcterms:modified xsi:type="dcterms:W3CDTF">2021-10-18T19:50:54Z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0x010100755859BA75B0B24CBFD82B80A0577E0F</vt:lpwstr>
  </property>
</Properties>
</file>