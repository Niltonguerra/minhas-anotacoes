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nilto\Downloads\"/>
    </mc:Choice>
  </mc:AlternateContent>
  <xr:revisionPtr revIDLastSave="0" documentId="13_ncr:1_{E2EF91E4-EFDA-4381-AE8A-C6FFC73F86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R32" i="1"/>
  <c r="R30" i="1"/>
  <c r="R31" i="1"/>
  <c r="O31" i="1"/>
  <c r="P31" i="1" s="1"/>
  <c r="O32" i="1"/>
  <c r="P32" i="1" s="1"/>
  <c r="O29" i="1"/>
  <c r="P29" i="1" s="1"/>
  <c r="T29" i="1" s="1"/>
  <c r="O30" i="1"/>
  <c r="P30" i="1" s="1"/>
  <c r="T30" i="1" s="1"/>
  <c r="AD29" i="1"/>
  <c r="AD30" i="1"/>
  <c r="AD31" i="1"/>
  <c r="AD32" i="1"/>
  <c r="AB32" i="1"/>
  <c r="AB31" i="1"/>
  <c r="Z30" i="1"/>
  <c r="Z31" i="1"/>
  <c r="Z32" i="1"/>
  <c r="Z29" i="1"/>
  <c r="X32" i="1"/>
  <c r="X30" i="1"/>
  <c r="X31" i="1"/>
  <c r="X29" i="1"/>
  <c r="V31" i="1"/>
  <c r="V30" i="1"/>
  <c r="V32" i="1"/>
  <c r="V29" i="1"/>
  <c r="E47" i="1"/>
  <c r="E46" i="1"/>
  <c r="E48" i="1"/>
  <c r="E3" i="1"/>
  <c r="I1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1" i="1"/>
  <c r="E32" i="1"/>
  <c r="E33" i="1"/>
  <c r="E34" i="1"/>
  <c r="E35" i="1"/>
  <c r="E36" i="1"/>
  <c r="E37" i="1"/>
  <c r="E38" i="1"/>
  <c r="E40" i="1"/>
  <c r="E41" i="1"/>
  <c r="E42" i="1"/>
  <c r="E43" i="1"/>
  <c r="E44" i="1"/>
  <c r="E45" i="1"/>
  <c r="E49" i="1"/>
  <c r="E50" i="1"/>
  <c r="E51" i="1"/>
  <c r="E52" i="1"/>
  <c r="E53" i="1"/>
  <c r="E54" i="1"/>
  <c r="E55" i="1"/>
  <c r="E56" i="1"/>
  <c r="E57" i="1"/>
  <c r="E58" i="1"/>
  <c r="E2" i="1"/>
  <c r="AC32" i="1" l="1"/>
  <c r="AC30" i="1"/>
  <c r="AC29" i="1"/>
  <c r="AC31" i="1"/>
</calcChain>
</file>

<file path=xl/sharedStrings.xml><?xml version="1.0" encoding="utf-8"?>
<sst xmlns="http://schemas.openxmlformats.org/spreadsheetml/2006/main" count="146" uniqueCount="123">
  <si>
    <t>preço</t>
  </si>
  <si>
    <t>valor</t>
  </si>
  <si>
    <t>valor total</t>
  </si>
  <si>
    <t>eletroduto(cm)</t>
  </si>
  <si>
    <t>interfone e trava eletrônica</t>
  </si>
  <si>
    <t>caixa de passagem</t>
  </si>
  <si>
    <t>tomadas</t>
  </si>
  <si>
    <t>interrupitor simples</t>
  </si>
  <si>
    <t>interruptor touch wifi smart wall switch</t>
  </si>
  <si>
    <t>interruptor pulsador</t>
  </si>
  <si>
    <t>quadro de disjuntor</t>
  </si>
  <si>
    <t>botão</t>
  </si>
  <si>
    <t>sinaleira</t>
  </si>
  <si>
    <t>botão de emergência</t>
  </si>
  <si>
    <t>contator auxiliar</t>
  </si>
  <si>
    <t xml:space="preserve">fonte 24v </t>
  </si>
  <si>
    <t>Borne sac</t>
  </si>
  <si>
    <t>borne de terra sac</t>
  </si>
  <si>
    <t>cargo</t>
  </si>
  <si>
    <t>salário</t>
  </si>
  <si>
    <t>Descontos</t>
  </si>
  <si>
    <t>Sálario final</t>
  </si>
  <si>
    <t>Salário por hora do funcionário</t>
  </si>
  <si>
    <t>borne sac de saída</t>
  </si>
  <si>
    <t>INSS</t>
  </si>
  <si>
    <t>Periculosidade</t>
  </si>
  <si>
    <t>IRRF</t>
  </si>
  <si>
    <t>FGTS</t>
  </si>
  <si>
    <t>Convênio</t>
  </si>
  <si>
    <t>vale transporte</t>
  </si>
  <si>
    <t>contribuição sindical</t>
  </si>
  <si>
    <t>(20 horas semanais/100 horas mensais)</t>
  </si>
  <si>
    <t>canaleta (2m)</t>
  </si>
  <si>
    <t>Gerente</t>
  </si>
  <si>
    <t>NA</t>
  </si>
  <si>
    <t>27,5% e parcela de R$ 869,36 a deduzir do imposto</t>
  </si>
  <si>
    <t>eletrocalha</t>
  </si>
  <si>
    <t>cm</t>
  </si>
  <si>
    <t>Supervisor</t>
  </si>
  <si>
    <t>22,5% e parcela de R$ 636,13 a deduzir do imposto</t>
  </si>
  <si>
    <t>conector de caixinha de passagem com o eletroduto</t>
  </si>
  <si>
    <t>Técnico</t>
  </si>
  <si>
    <t>Isento</t>
  </si>
  <si>
    <t>lampadas led</t>
  </si>
  <si>
    <t xml:space="preserve">Auxiliar </t>
  </si>
  <si>
    <t>lampadas incandescente</t>
  </si>
  <si>
    <t>alexa echo dot</t>
  </si>
  <si>
    <t>fita isolante</t>
  </si>
  <si>
    <t>cabo de rede</t>
  </si>
  <si>
    <t>roteador</t>
  </si>
  <si>
    <t>Cabo Coaxial Bipolar 4mm 100m Slim Cftv Trançado Br</t>
  </si>
  <si>
    <t>15m</t>
  </si>
  <si>
    <t>mouse</t>
  </si>
  <si>
    <t xml:space="preserve">monitor </t>
  </si>
  <si>
    <t>cabo vga</t>
  </si>
  <si>
    <t>sensor de fumaça</t>
  </si>
  <si>
    <t>brasadeira</t>
  </si>
  <si>
    <t>cabo 1,5mm verde (50m)</t>
  </si>
  <si>
    <t>cabo 1,5mm azul (50m)</t>
  </si>
  <si>
    <t>cabo 1,5mm vermelho  (50m)</t>
  </si>
  <si>
    <t>cabo 1,5mm preto  (50m)</t>
  </si>
  <si>
    <t>cabo 1,5mm amarelo  (50m)</t>
  </si>
  <si>
    <t>cortina automatica</t>
  </si>
  <si>
    <t>saída vertical para eletroduto</t>
  </si>
  <si>
    <t>suporte para câmera</t>
  </si>
  <si>
    <t xml:space="preserve">Equipamento </t>
  </si>
  <si>
    <t>Marca</t>
  </si>
  <si>
    <t>Tigre</t>
  </si>
  <si>
    <t>HDL</t>
  </si>
  <si>
    <t>Stella</t>
  </si>
  <si>
    <t>Sonoff</t>
  </si>
  <si>
    <t>Iriel Brava</t>
  </si>
  <si>
    <t>Sil</t>
  </si>
  <si>
    <t>Amazon</t>
  </si>
  <si>
    <t xml:space="preserve">tablet </t>
  </si>
  <si>
    <t>Multilaser</t>
  </si>
  <si>
    <t xml:space="preserve">dps </t>
  </si>
  <si>
    <t>finder</t>
  </si>
  <si>
    <t xml:space="preserve">disjuntor  unipolar </t>
  </si>
  <si>
    <t>Sitratec</t>
  </si>
  <si>
    <t xml:space="preserve">disjuntos bipolar </t>
  </si>
  <si>
    <t xml:space="preserve">steck </t>
  </si>
  <si>
    <t>clamper</t>
  </si>
  <si>
    <t xml:space="preserve">dr </t>
  </si>
  <si>
    <t>steck</t>
  </si>
  <si>
    <t xml:space="preserve">Disjuntor unipolar </t>
  </si>
  <si>
    <t>Sibratec</t>
  </si>
  <si>
    <t xml:space="preserve">disjuntor bipolar </t>
  </si>
  <si>
    <t>LS</t>
  </si>
  <si>
    <t xml:space="preserve">disjuntor unipolar </t>
  </si>
  <si>
    <t>sentron pac 3200</t>
  </si>
  <si>
    <t xml:space="preserve">Simens </t>
  </si>
  <si>
    <t>VSA persianas</t>
  </si>
  <si>
    <t>Uniseg</t>
  </si>
  <si>
    <t>Thelmar</t>
  </si>
  <si>
    <t>relé  de impulso 20.22.8.110.4000</t>
  </si>
  <si>
    <t>Brum</t>
  </si>
  <si>
    <t>Altronic</t>
  </si>
  <si>
    <t>Foyu</t>
  </si>
  <si>
    <t>contator</t>
  </si>
  <si>
    <t xml:space="preserve"> jng </t>
  </si>
  <si>
    <t>HS Automação</t>
  </si>
  <si>
    <t>Dutoplast</t>
  </si>
  <si>
    <t>segurimax</t>
  </si>
  <si>
    <t>central de incêndio</t>
  </si>
  <si>
    <t>Gevi Gamma</t>
  </si>
  <si>
    <t>Terminal(100 unidades)</t>
  </si>
  <si>
    <t>cabos alarme de incêndio (15m)</t>
  </si>
  <si>
    <t>telecam</t>
  </si>
  <si>
    <t>Vbtech</t>
  </si>
  <si>
    <t>LG</t>
  </si>
  <si>
    <t>DVR para 4 câmeras</t>
  </si>
  <si>
    <t>Intelbras</t>
  </si>
  <si>
    <t>TP.link</t>
  </si>
  <si>
    <t>câmera</t>
  </si>
  <si>
    <t xml:space="preserve"> Intelbras </t>
  </si>
  <si>
    <t>unid.</t>
  </si>
  <si>
    <t xml:space="preserve">conectores para as câmeras </t>
  </si>
  <si>
    <t>Delphus</t>
  </si>
  <si>
    <t>Frapa</t>
  </si>
  <si>
    <t>Internet Lotus</t>
  </si>
  <si>
    <t>Philips</t>
  </si>
  <si>
    <t>SEB - Solução em Eletrocalhas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</si>
</sst>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&quot;R$&quot;\ #,##0.0;[Red]\-&quot;R$&quot;\ #,##0.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9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8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8" fontId="0" fillId="0" borderId="1" xfId="0" applyNumberFormat="1" applyBorder="1"/>
    <xf numFmtId="8" fontId="0" fillId="0" borderId="3" xfId="0" applyNumberFormat="1" applyBorder="1"/>
    <xf numFmtId="9" fontId="0" fillId="0" borderId="3" xfId="0" applyNumberFormat="1" applyBorder="1"/>
    <xf numFmtId="8" fontId="0" fillId="0" borderId="3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8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0B142-17C2-0343-9A17-D53655370674}">
  <dimension ref="A1:AD197"/>
  <sheetViews>
    <sheetView tabSelected="1" topLeftCell="C16" zoomScale="85" zoomScaleNormal="85" zoomScaleSheetLayoutView="100" workbookViewId="0">
      <selection activeCell="P31" sqref="P31"/>
    </sheetView>
  </sheetViews>
  <sheetFormatPr defaultRowHeight="15" x14ac:dyDescent="0.25"/>
  <cols>
    <col min="1" max="1" width="57" customWidth="1"/>
    <col min="2" max="2" width="38.5703125" bestFit="1" customWidth="1"/>
    <col min="3" max="3" width="9.5703125" bestFit="1" customWidth="1"/>
    <col min="4" max="4" width="19.28515625" customWidth="1"/>
    <col min="5" max="5" width="18.28515625" customWidth="1"/>
    <col min="8" max="8" width="10.140625" bestFit="1" customWidth="1"/>
    <col min="9" max="9" width="12.5703125" bestFit="1" customWidth="1"/>
    <col min="12" max="12" width="10.42578125" bestFit="1" customWidth="1"/>
    <col min="13" max="13" width="11.42578125" bestFit="1" customWidth="1"/>
    <col min="14" max="14" width="7.5703125" bestFit="1" customWidth="1"/>
    <col min="15" max="15" width="14.85546875" customWidth="1"/>
    <col min="16" max="18" width="19.140625" customWidth="1"/>
    <col min="19" max="19" width="47" bestFit="1" customWidth="1"/>
    <col min="20" max="20" width="11.42578125" bestFit="1" customWidth="1"/>
    <col min="21" max="21" width="3.7109375" bestFit="1" customWidth="1"/>
    <col min="22" max="22" width="9.85546875" bestFit="1" customWidth="1"/>
    <col min="23" max="23" width="6.42578125" bestFit="1" customWidth="1"/>
    <col min="24" max="24" width="9.85546875" bestFit="1" customWidth="1"/>
    <col min="25" max="25" width="3.7109375" bestFit="1" customWidth="1"/>
    <col min="26" max="26" width="9.85546875" bestFit="1" customWidth="1"/>
    <col min="27" max="27" width="8.5703125" customWidth="1"/>
    <col min="28" max="28" width="18.5703125" customWidth="1"/>
    <col min="29" max="29" width="20.28515625" customWidth="1"/>
    <col min="30" max="30" width="37" customWidth="1"/>
  </cols>
  <sheetData>
    <row r="1" spans="1:9" ht="26.25" x14ac:dyDescent="0.25">
      <c r="A1" s="24" t="s">
        <v>65</v>
      </c>
      <c r="B1" s="24" t="s">
        <v>66</v>
      </c>
      <c r="C1" s="24" t="s">
        <v>116</v>
      </c>
      <c r="D1" s="24" t="s">
        <v>0</v>
      </c>
      <c r="E1" s="24" t="s">
        <v>1</v>
      </c>
      <c r="H1" s="3" t="s">
        <v>2</v>
      </c>
      <c r="I1" s="4">
        <f>SUM(E:E)</f>
        <v>12988.152999999995</v>
      </c>
    </row>
    <row r="2" spans="1:9" ht="15.75" x14ac:dyDescent="0.25">
      <c r="A2" s="23" t="s">
        <v>3</v>
      </c>
      <c r="B2" s="23" t="s">
        <v>67</v>
      </c>
      <c r="C2" s="23">
        <v>6</v>
      </c>
      <c r="D2" s="25">
        <v>7.43</v>
      </c>
      <c r="E2" s="25">
        <f>C2*D2</f>
        <v>44.58</v>
      </c>
    </row>
    <row r="3" spans="1:9" ht="15.75" x14ac:dyDescent="0.25">
      <c r="A3" s="23" t="s">
        <v>4</v>
      </c>
      <c r="B3" s="23" t="s">
        <v>68</v>
      </c>
      <c r="C3" s="23">
        <v>1</v>
      </c>
      <c r="D3" s="25">
        <v>299.33999999999997</v>
      </c>
      <c r="E3" s="25">
        <f t="shared" ref="E3:E58" si="0">C3*D3</f>
        <v>299.33999999999997</v>
      </c>
    </row>
    <row r="4" spans="1:9" ht="15.75" x14ac:dyDescent="0.25">
      <c r="A4" s="23" t="s">
        <v>5</v>
      </c>
      <c r="B4" s="23" t="s">
        <v>67</v>
      </c>
      <c r="C4" s="23">
        <v>42</v>
      </c>
      <c r="D4" s="25">
        <v>0.81</v>
      </c>
      <c r="E4" s="25">
        <f t="shared" si="0"/>
        <v>34.020000000000003</v>
      </c>
    </row>
    <row r="5" spans="1:9" ht="15.75" x14ac:dyDescent="0.25">
      <c r="A5" s="23" t="s">
        <v>6</v>
      </c>
      <c r="B5" s="23" t="s">
        <v>69</v>
      </c>
      <c r="C5" s="23">
        <v>28</v>
      </c>
      <c r="D5" s="25">
        <v>4.99</v>
      </c>
      <c r="E5" s="25">
        <f t="shared" si="0"/>
        <v>139.72</v>
      </c>
    </row>
    <row r="6" spans="1:9" ht="15.75" x14ac:dyDescent="0.25">
      <c r="A6" s="23" t="s">
        <v>7</v>
      </c>
      <c r="B6" s="23" t="s">
        <v>71</v>
      </c>
      <c r="C6" s="23">
        <v>2</v>
      </c>
      <c r="D6" s="25">
        <v>3</v>
      </c>
      <c r="E6" s="25">
        <f t="shared" si="0"/>
        <v>6</v>
      </c>
    </row>
    <row r="7" spans="1:9" ht="15.75" x14ac:dyDescent="0.25">
      <c r="A7" s="23" t="s">
        <v>8</v>
      </c>
      <c r="B7" s="23" t="s">
        <v>70</v>
      </c>
      <c r="C7" s="23">
        <v>3</v>
      </c>
      <c r="D7" s="25">
        <v>163</v>
      </c>
      <c r="E7" s="25">
        <f t="shared" si="0"/>
        <v>489</v>
      </c>
    </row>
    <row r="8" spans="1:9" ht="15.75" x14ac:dyDescent="0.25">
      <c r="A8" s="23" t="s">
        <v>9</v>
      </c>
      <c r="B8" s="23" t="s">
        <v>71</v>
      </c>
      <c r="C8" s="23">
        <v>4</v>
      </c>
      <c r="D8" s="25">
        <v>4.18</v>
      </c>
      <c r="E8" s="25">
        <f t="shared" si="0"/>
        <v>16.72</v>
      </c>
    </row>
    <row r="9" spans="1:9" ht="15.75" x14ac:dyDescent="0.25">
      <c r="A9" s="23" t="s">
        <v>95</v>
      </c>
      <c r="B9" s="23" t="s">
        <v>77</v>
      </c>
      <c r="C9" s="23">
        <v>1</v>
      </c>
      <c r="D9" s="25">
        <v>125</v>
      </c>
      <c r="E9" s="25">
        <f t="shared" si="0"/>
        <v>125</v>
      </c>
    </row>
    <row r="10" spans="1:9" ht="15.75" x14ac:dyDescent="0.25">
      <c r="A10" s="23" t="s">
        <v>10</v>
      </c>
      <c r="B10" s="23" t="s">
        <v>96</v>
      </c>
      <c r="C10" s="23">
        <v>1</v>
      </c>
      <c r="D10" s="25">
        <v>39.22</v>
      </c>
      <c r="E10" s="25">
        <f t="shared" si="0"/>
        <v>39.22</v>
      </c>
    </row>
    <row r="11" spans="1:9" ht="15.75" x14ac:dyDescent="0.25">
      <c r="A11" s="23" t="s">
        <v>11</v>
      </c>
      <c r="B11" s="23" t="s">
        <v>97</v>
      </c>
      <c r="C11" s="23">
        <v>2</v>
      </c>
      <c r="D11" s="25">
        <v>10.220000000000001</v>
      </c>
      <c r="E11" s="25">
        <f t="shared" si="0"/>
        <v>20.440000000000001</v>
      </c>
    </row>
    <row r="12" spans="1:9" ht="15.75" x14ac:dyDescent="0.25">
      <c r="A12" s="23" t="s">
        <v>12</v>
      </c>
      <c r="B12" s="23" t="s">
        <v>97</v>
      </c>
      <c r="C12" s="23">
        <v>2</v>
      </c>
      <c r="D12" s="25">
        <v>3.27</v>
      </c>
      <c r="E12" s="25">
        <f t="shared" si="0"/>
        <v>6.54</v>
      </c>
    </row>
    <row r="13" spans="1:9" ht="15.75" x14ac:dyDescent="0.25">
      <c r="A13" s="23" t="s">
        <v>13</v>
      </c>
      <c r="B13" s="23" t="s">
        <v>97</v>
      </c>
      <c r="C13" s="23">
        <v>1</v>
      </c>
      <c r="D13" s="25">
        <v>22.9</v>
      </c>
      <c r="E13" s="25">
        <f t="shared" si="0"/>
        <v>22.9</v>
      </c>
    </row>
    <row r="14" spans="1:9" ht="15.75" x14ac:dyDescent="0.25">
      <c r="A14" s="23" t="s">
        <v>90</v>
      </c>
      <c r="B14" s="23" t="s">
        <v>91</v>
      </c>
      <c r="C14" s="23">
        <v>1</v>
      </c>
      <c r="D14" s="25">
        <v>2900</v>
      </c>
      <c r="E14" s="25">
        <f t="shared" si="0"/>
        <v>2900</v>
      </c>
    </row>
    <row r="15" spans="1:9" ht="15.75" x14ac:dyDescent="0.25">
      <c r="A15" s="23" t="s">
        <v>89</v>
      </c>
      <c r="B15" s="23" t="s">
        <v>84</v>
      </c>
      <c r="C15" s="23">
        <v>4</v>
      </c>
      <c r="D15" s="25">
        <v>9.89</v>
      </c>
      <c r="E15" s="25">
        <f t="shared" si="0"/>
        <v>39.56</v>
      </c>
    </row>
    <row r="16" spans="1:9" ht="15.75" x14ac:dyDescent="0.25">
      <c r="A16" s="23" t="s">
        <v>87</v>
      </c>
      <c r="B16" s="23" t="s">
        <v>88</v>
      </c>
      <c r="C16" s="23">
        <v>4</v>
      </c>
      <c r="D16" s="25">
        <v>35.299999999999997</v>
      </c>
      <c r="E16" s="25">
        <f t="shared" si="0"/>
        <v>141.19999999999999</v>
      </c>
    </row>
    <row r="17" spans="1:30" ht="15.75" x14ac:dyDescent="0.25">
      <c r="A17" s="23" t="s">
        <v>85</v>
      </c>
      <c r="B17" s="23" t="s">
        <v>86</v>
      </c>
      <c r="C17" s="23">
        <v>1</v>
      </c>
      <c r="D17" s="25">
        <v>16.36</v>
      </c>
      <c r="E17" s="25">
        <f t="shared" si="0"/>
        <v>16.36</v>
      </c>
    </row>
    <row r="18" spans="1:30" ht="15.75" x14ac:dyDescent="0.25">
      <c r="A18" s="23" t="s">
        <v>83</v>
      </c>
      <c r="B18" s="23" t="s">
        <v>84</v>
      </c>
      <c r="C18" s="23">
        <v>1</v>
      </c>
      <c r="D18" s="25">
        <v>101.17</v>
      </c>
      <c r="E18" s="25">
        <f t="shared" si="0"/>
        <v>101.17</v>
      </c>
    </row>
    <row r="19" spans="1:30" ht="15.75" x14ac:dyDescent="0.25">
      <c r="A19" s="23" t="s">
        <v>76</v>
      </c>
      <c r="B19" s="23" t="s">
        <v>82</v>
      </c>
      <c r="C19" s="23">
        <v>2</v>
      </c>
      <c r="D19" s="25">
        <v>35</v>
      </c>
      <c r="E19" s="25">
        <f t="shared" si="0"/>
        <v>70</v>
      </c>
    </row>
    <row r="20" spans="1:30" ht="15.75" x14ac:dyDescent="0.25">
      <c r="A20" s="23" t="s">
        <v>76</v>
      </c>
      <c r="B20" s="23" t="s">
        <v>77</v>
      </c>
      <c r="C20" s="23">
        <v>1</v>
      </c>
      <c r="D20" s="25">
        <v>42.9</v>
      </c>
      <c r="E20" s="25">
        <f t="shared" si="0"/>
        <v>42.9</v>
      </c>
    </row>
    <row r="21" spans="1:30" ht="15.75" x14ac:dyDescent="0.25">
      <c r="A21" s="23" t="s">
        <v>78</v>
      </c>
      <c r="B21" s="23" t="s">
        <v>79</v>
      </c>
      <c r="C21" s="23">
        <v>1</v>
      </c>
      <c r="D21" s="25">
        <v>11.09</v>
      </c>
      <c r="E21" s="25">
        <f t="shared" si="0"/>
        <v>11.09</v>
      </c>
    </row>
    <row r="22" spans="1:30" ht="15.75" x14ac:dyDescent="0.25">
      <c r="A22" s="23" t="s">
        <v>80</v>
      </c>
      <c r="B22" s="23" t="s">
        <v>81</v>
      </c>
      <c r="C22" s="23">
        <v>1</v>
      </c>
      <c r="D22" s="25">
        <v>26</v>
      </c>
      <c r="E22" s="25">
        <f t="shared" si="0"/>
        <v>26</v>
      </c>
    </row>
    <row r="23" spans="1:30" ht="15.75" x14ac:dyDescent="0.25">
      <c r="A23" s="23" t="s">
        <v>99</v>
      </c>
      <c r="B23" s="23" t="s">
        <v>100</v>
      </c>
      <c r="C23" s="23">
        <v>1</v>
      </c>
      <c r="D23" s="25">
        <v>69</v>
      </c>
      <c r="E23" s="25">
        <f t="shared" si="0"/>
        <v>69</v>
      </c>
    </row>
    <row r="24" spans="1:30" ht="15.75" x14ac:dyDescent="0.25">
      <c r="A24" s="23" t="s">
        <v>14</v>
      </c>
      <c r="B24" s="23" t="s">
        <v>100</v>
      </c>
      <c r="C24" s="23">
        <v>1</v>
      </c>
      <c r="D24" s="25">
        <v>48.13</v>
      </c>
      <c r="E24" s="25">
        <f t="shared" si="0"/>
        <v>48.13</v>
      </c>
    </row>
    <row r="25" spans="1:30" ht="15.75" x14ac:dyDescent="0.25">
      <c r="A25" s="23" t="s">
        <v>15</v>
      </c>
      <c r="B25" s="23" t="s">
        <v>98</v>
      </c>
      <c r="C25" s="23">
        <v>1</v>
      </c>
      <c r="D25" s="25">
        <v>39.9</v>
      </c>
      <c r="E25" s="25">
        <f t="shared" si="0"/>
        <v>39.9</v>
      </c>
    </row>
    <row r="26" spans="1:30" ht="15.75" x14ac:dyDescent="0.25">
      <c r="A26" s="23" t="s">
        <v>16</v>
      </c>
      <c r="B26" s="23" t="s">
        <v>101</v>
      </c>
      <c r="C26" s="23">
        <v>5</v>
      </c>
      <c r="D26" s="25">
        <v>2.73</v>
      </c>
      <c r="E26" s="25">
        <f t="shared" si="0"/>
        <v>13.65</v>
      </c>
    </row>
    <row r="27" spans="1:30" ht="22.5" customHeight="1" x14ac:dyDescent="0.25">
      <c r="A27" s="23" t="s">
        <v>17</v>
      </c>
      <c r="B27" s="23" t="s">
        <v>101</v>
      </c>
      <c r="C27" s="23">
        <v>8</v>
      </c>
      <c r="D27" s="25">
        <v>12.9</v>
      </c>
      <c r="E27" s="25">
        <f t="shared" si="0"/>
        <v>103.2</v>
      </c>
      <c r="L27" s="18" t="s">
        <v>18</v>
      </c>
      <c r="M27" s="18" t="s">
        <v>19</v>
      </c>
      <c r="N27" s="19" t="s">
        <v>20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21</v>
      </c>
      <c r="AD27" s="6" t="s">
        <v>22</v>
      </c>
    </row>
    <row r="28" spans="1:30" ht="21.75" customHeight="1" x14ac:dyDescent="0.25">
      <c r="A28" s="23" t="s">
        <v>23</v>
      </c>
      <c r="B28" s="23" t="s">
        <v>101</v>
      </c>
      <c r="C28" s="23">
        <v>4</v>
      </c>
      <c r="D28" s="25">
        <v>1.2</v>
      </c>
      <c r="E28" s="25">
        <f t="shared" si="0"/>
        <v>4.8</v>
      </c>
      <c r="L28" s="29"/>
      <c r="M28" s="18"/>
      <c r="N28" s="19" t="s">
        <v>24</v>
      </c>
      <c r="O28" s="19"/>
      <c r="P28" s="20"/>
      <c r="Q28" s="21" t="s">
        <v>25</v>
      </c>
      <c r="R28" s="22"/>
      <c r="S28" s="19" t="s">
        <v>26</v>
      </c>
      <c r="T28" s="19"/>
      <c r="U28" s="19" t="s">
        <v>27</v>
      </c>
      <c r="V28" s="19"/>
      <c r="W28" s="19" t="s">
        <v>28</v>
      </c>
      <c r="X28" s="19"/>
      <c r="Y28" s="19" t="s">
        <v>29</v>
      </c>
      <c r="Z28" s="19"/>
      <c r="AA28" s="19" t="s">
        <v>30</v>
      </c>
      <c r="AB28" s="19"/>
      <c r="AC28" s="19"/>
      <c r="AD28" s="6" t="s">
        <v>31</v>
      </c>
    </row>
    <row r="29" spans="1:30" ht="15.75" x14ac:dyDescent="0.25">
      <c r="A29" s="23" t="s">
        <v>32</v>
      </c>
      <c r="B29" s="23" t="s">
        <v>102</v>
      </c>
      <c r="C29" s="23">
        <v>1.27</v>
      </c>
      <c r="D29" s="25">
        <v>35.9</v>
      </c>
      <c r="E29" s="25">
        <f t="shared" si="0"/>
        <v>45.592999999999996</v>
      </c>
      <c r="L29" s="31" t="s">
        <v>33</v>
      </c>
      <c r="M29" s="27">
        <v>5000</v>
      </c>
      <c r="N29" s="8">
        <v>0.14000000000000001</v>
      </c>
      <c r="O29" s="12">
        <f>M29*0.09</f>
        <v>450</v>
      </c>
      <c r="P29" s="14">
        <f>M29-O29</f>
        <v>4550</v>
      </c>
      <c r="Q29" s="17" t="s">
        <v>34</v>
      </c>
      <c r="R29" s="15">
        <v>0</v>
      </c>
      <c r="S29" s="13" t="s">
        <v>35</v>
      </c>
      <c r="T29" s="7">
        <f>(P29*0.275)-869.36</f>
        <v>381.89</v>
      </c>
      <c r="U29" s="2">
        <v>0.08</v>
      </c>
      <c r="V29" s="7">
        <f>M29*0.08</f>
        <v>400</v>
      </c>
      <c r="W29" s="8">
        <v>1.4999999999999999E-2</v>
      </c>
      <c r="X29" s="7">
        <f>M29*0.015</f>
        <v>75</v>
      </c>
      <c r="Y29" s="2">
        <v>0.06</v>
      </c>
      <c r="Z29" s="7">
        <f>M29*0.06</f>
        <v>300</v>
      </c>
      <c r="AA29" s="2">
        <v>0</v>
      </c>
      <c r="AB29" s="7">
        <v>0</v>
      </c>
      <c r="AC29" s="7">
        <f>M29-O29-T29-V29-X29-Z29-AB29</f>
        <v>3393.1099999999997</v>
      </c>
      <c r="AD29" s="7">
        <f>M29/100</f>
        <v>50</v>
      </c>
    </row>
    <row r="30" spans="1:30" ht="15.75" x14ac:dyDescent="0.25">
      <c r="A30" s="26" t="s">
        <v>36</v>
      </c>
      <c r="B30" s="23" t="s">
        <v>122</v>
      </c>
      <c r="C30" s="23">
        <f>(204*8)+227+2120</f>
        <v>3979</v>
      </c>
      <c r="D30" s="25" t="s">
        <v>37</v>
      </c>
      <c r="E30" s="25">
        <v>2567.63</v>
      </c>
      <c r="L30" s="31" t="s">
        <v>38</v>
      </c>
      <c r="M30" s="28">
        <v>2200</v>
      </c>
      <c r="N30" s="8">
        <v>0.09</v>
      </c>
      <c r="O30" s="12">
        <f>M30*0.09</f>
        <v>198</v>
      </c>
      <c r="P30" s="14">
        <f>M30-O30</f>
        <v>2002</v>
      </c>
      <c r="Q30" s="16">
        <v>0.3</v>
      </c>
      <c r="R30" s="15">
        <f>M30*0.3</f>
        <v>660</v>
      </c>
      <c r="S30" s="13" t="s">
        <v>39</v>
      </c>
      <c r="T30" s="7">
        <f>(P30*0.075)-142.8</f>
        <v>7.3499999999999943</v>
      </c>
      <c r="U30" s="2">
        <v>0.08</v>
      </c>
      <c r="V30" s="7">
        <f>M30*0.08</f>
        <v>176</v>
      </c>
      <c r="W30" s="8">
        <v>1.4999999999999999E-2</v>
      </c>
      <c r="X30" s="7">
        <f t="shared" ref="X30:X31" si="1">M30*0.015</f>
        <v>33</v>
      </c>
      <c r="Y30" s="2">
        <v>0.06</v>
      </c>
      <c r="Z30" s="7">
        <f t="shared" ref="Z30:Z32" si="2">M30*0.06</f>
        <v>132</v>
      </c>
      <c r="AA30" s="2">
        <v>0</v>
      </c>
      <c r="AB30" s="7">
        <v>0</v>
      </c>
      <c r="AC30" s="7">
        <f t="shared" ref="AC30" si="3">M30-O30-T30-V30-X30-Z30-AB30</f>
        <v>1653.65</v>
      </c>
      <c r="AD30" s="7">
        <f t="shared" ref="AD30:AD32" si="4">M30/100</f>
        <v>22</v>
      </c>
    </row>
    <row r="31" spans="1:30" ht="15.75" x14ac:dyDescent="0.25">
      <c r="A31" s="23" t="s">
        <v>40</v>
      </c>
      <c r="B31" s="23" t="s">
        <v>67</v>
      </c>
      <c r="C31" s="23">
        <v>68</v>
      </c>
      <c r="D31" s="25">
        <v>2.09</v>
      </c>
      <c r="E31" s="25">
        <f t="shared" si="0"/>
        <v>142.12</v>
      </c>
      <c r="L31" s="31" t="s">
        <v>41</v>
      </c>
      <c r="M31" s="28">
        <v>1870</v>
      </c>
      <c r="N31" s="8">
        <v>0.09</v>
      </c>
      <c r="O31" s="12">
        <f>M31*0.09</f>
        <v>168.29999999999998</v>
      </c>
      <c r="P31" s="14">
        <f>M31-O31</f>
        <v>1701.7</v>
      </c>
      <c r="Q31" s="16">
        <v>0.3</v>
      </c>
      <c r="R31" s="15">
        <f>M31*0.3</f>
        <v>561</v>
      </c>
      <c r="S31" s="13" t="s">
        <v>42</v>
      </c>
      <c r="T31" s="5" t="s">
        <v>34</v>
      </c>
      <c r="U31" s="2">
        <v>0.08</v>
      </c>
      <c r="V31" s="7">
        <f>M31*0.08</f>
        <v>149.6</v>
      </c>
      <c r="W31" s="8">
        <v>1.4999999999999999E-2</v>
      </c>
      <c r="X31" s="7">
        <f t="shared" si="1"/>
        <v>28.05</v>
      </c>
      <c r="Y31" s="2">
        <v>0.06</v>
      </c>
      <c r="Z31" s="7">
        <f t="shared" si="2"/>
        <v>112.2</v>
      </c>
      <c r="AA31" s="2">
        <v>0.02</v>
      </c>
      <c r="AB31" s="7">
        <f>M31*0.02</f>
        <v>37.4</v>
      </c>
      <c r="AC31" s="7">
        <f>M31-O31-V31-X31-Z31-AB31</f>
        <v>1374.45</v>
      </c>
      <c r="AD31" s="7">
        <f t="shared" si="4"/>
        <v>18.7</v>
      </c>
    </row>
    <row r="32" spans="1:30" ht="15.75" x14ac:dyDescent="0.25">
      <c r="A32" s="23" t="s">
        <v>43</v>
      </c>
      <c r="B32" s="23" t="s">
        <v>121</v>
      </c>
      <c r="C32" s="23">
        <v>15</v>
      </c>
      <c r="D32" s="25">
        <v>14.89</v>
      </c>
      <c r="E32" s="25">
        <f t="shared" si="0"/>
        <v>223.35000000000002</v>
      </c>
      <c r="L32" s="30" t="s">
        <v>44</v>
      </c>
      <c r="M32" s="7">
        <v>1045</v>
      </c>
      <c r="N32" s="8">
        <v>7.4999999999999997E-2</v>
      </c>
      <c r="O32" s="12">
        <f>M32*0.09</f>
        <v>94.05</v>
      </c>
      <c r="P32" s="14">
        <f>M32-O32</f>
        <v>950.95</v>
      </c>
      <c r="Q32" s="16">
        <v>0.3</v>
      </c>
      <c r="R32" s="15">
        <f>M32*0.3</f>
        <v>313.5</v>
      </c>
      <c r="S32" s="13" t="s">
        <v>42</v>
      </c>
      <c r="T32" s="5" t="s">
        <v>34</v>
      </c>
      <c r="U32" s="2">
        <v>0.08</v>
      </c>
      <c r="V32" s="7">
        <f t="shared" ref="V32" si="5">M32*0.08</f>
        <v>83.600000000000009</v>
      </c>
      <c r="W32" s="8">
        <v>1.4999999999999999E-2</v>
      </c>
      <c r="X32" s="7">
        <f>M32*0.015</f>
        <v>15.674999999999999</v>
      </c>
      <c r="Y32" s="2">
        <v>0.06</v>
      </c>
      <c r="Z32" s="7">
        <f t="shared" si="2"/>
        <v>62.699999999999996</v>
      </c>
      <c r="AA32" s="2">
        <v>0.02</v>
      </c>
      <c r="AB32" s="7">
        <f>M32*0.02</f>
        <v>20.900000000000002</v>
      </c>
      <c r="AC32" s="7">
        <f>M32-O32-V32-X32-Z32-AB32</f>
        <v>768.07500000000005</v>
      </c>
      <c r="AD32" s="7">
        <f t="shared" si="4"/>
        <v>10.45</v>
      </c>
    </row>
    <row r="33" spans="1:30" ht="15.75" x14ac:dyDescent="0.25">
      <c r="A33" s="23" t="s">
        <v>45</v>
      </c>
      <c r="B33" s="23" t="s">
        <v>121</v>
      </c>
      <c r="C33" s="23">
        <v>2</v>
      </c>
      <c r="D33" s="25">
        <v>6.21</v>
      </c>
      <c r="E33" s="25">
        <f t="shared" si="0"/>
        <v>12.42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.75" x14ac:dyDescent="0.25">
      <c r="A34" s="23" t="s">
        <v>46</v>
      </c>
      <c r="B34" s="23" t="s">
        <v>73</v>
      </c>
      <c r="C34" s="23">
        <v>3</v>
      </c>
      <c r="D34" s="25">
        <v>290</v>
      </c>
      <c r="E34" s="25">
        <f t="shared" si="0"/>
        <v>870</v>
      </c>
    </row>
    <row r="35" spans="1:30" ht="15.75" x14ac:dyDescent="0.25">
      <c r="A35" s="23" t="s">
        <v>47</v>
      </c>
      <c r="B35" s="23" t="s">
        <v>67</v>
      </c>
      <c r="C35" s="23">
        <v>4</v>
      </c>
      <c r="D35" s="25">
        <v>12.23</v>
      </c>
      <c r="E35" s="25">
        <f t="shared" si="0"/>
        <v>48.92</v>
      </c>
    </row>
    <row r="36" spans="1:30" ht="15.75" x14ac:dyDescent="0.25">
      <c r="A36" s="23" t="s">
        <v>114</v>
      </c>
      <c r="B36" s="23" t="s">
        <v>115</v>
      </c>
      <c r="C36" s="23">
        <v>4</v>
      </c>
      <c r="D36" s="25">
        <v>118.89</v>
      </c>
      <c r="E36" s="25">
        <f t="shared" si="0"/>
        <v>475.56</v>
      </c>
    </row>
    <row r="37" spans="1:30" ht="15.75" x14ac:dyDescent="0.25">
      <c r="A37" s="23" t="s">
        <v>48</v>
      </c>
      <c r="B37" s="23" t="s">
        <v>120</v>
      </c>
      <c r="C37" s="23">
        <v>2</v>
      </c>
      <c r="D37" s="25">
        <v>8.9</v>
      </c>
      <c r="E37" s="25">
        <f t="shared" si="0"/>
        <v>17.8</v>
      </c>
    </row>
    <row r="38" spans="1:30" ht="15.75" x14ac:dyDescent="0.25">
      <c r="A38" s="23" t="s">
        <v>49</v>
      </c>
      <c r="B38" s="23" t="s">
        <v>113</v>
      </c>
      <c r="C38" s="23">
        <v>1</v>
      </c>
      <c r="D38" s="25">
        <v>88.9</v>
      </c>
      <c r="E38" s="25">
        <f t="shared" si="0"/>
        <v>88.9</v>
      </c>
    </row>
    <row r="39" spans="1:30" ht="15.75" x14ac:dyDescent="0.25">
      <c r="A39" s="23" t="s">
        <v>50</v>
      </c>
      <c r="B39" s="23" t="s">
        <v>119</v>
      </c>
      <c r="C39" s="23" t="s">
        <v>51</v>
      </c>
      <c r="D39" s="25">
        <v>85.25</v>
      </c>
      <c r="E39" s="25">
        <v>12.78</v>
      </c>
    </row>
    <row r="40" spans="1:30" ht="15.75" x14ac:dyDescent="0.25">
      <c r="A40" s="23" t="s">
        <v>117</v>
      </c>
      <c r="B40" s="23" t="s">
        <v>118</v>
      </c>
      <c r="C40" s="23">
        <v>4</v>
      </c>
      <c r="D40" s="25">
        <v>19.149999999999999</v>
      </c>
      <c r="E40" s="25">
        <f t="shared" si="0"/>
        <v>76.599999999999994</v>
      </c>
    </row>
    <row r="41" spans="1:30" ht="15.75" x14ac:dyDescent="0.25">
      <c r="A41" s="23" t="s">
        <v>111</v>
      </c>
      <c r="B41" s="23" t="s">
        <v>112</v>
      </c>
      <c r="C41" s="23">
        <v>1</v>
      </c>
      <c r="D41" s="25">
        <v>419.98</v>
      </c>
      <c r="E41" s="25">
        <f t="shared" si="0"/>
        <v>419.98</v>
      </c>
    </row>
    <row r="42" spans="1:30" ht="15.75" x14ac:dyDescent="0.25">
      <c r="A42" s="23" t="s">
        <v>52</v>
      </c>
      <c r="B42" s="23" t="s">
        <v>75</v>
      </c>
      <c r="C42" s="23">
        <v>1</v>
      </c>
      <c r="D42" s="25">
        <v>27.5</v>
      </c>
      <c r="E42" s="25">
        <f t="shared" si="0"/>
        <v>27.5</v>
      </c>
    </row>
    <row r="43" spans="1:30" ht="15.75" x14ac:dyDescent="0.25">
      <c r="A43" s="23" t="s">
        <v>53</v>
      </c>
      <c r="B43" s="23" t="s">
        <v>110</v>
      </c>
      <c r="C43" s="23">
        <v>1</v>
      </c>
      <c r="D43" s="25">
        <v>290.89999999999998</v>
      </c>
      <c r="E43" s="25">
        <f t="shared" si="0"/>
        <v>290.89999999999998</v>
      </c>
    </row>
    <row r="44" spans="1:30" ht="15.75" x14ac:dyDescent="0.25">
      <c r="A44" s="23" t="s">
        <v>54</v>
      </c>
      <c r="B44" s="23" t="s">
        <v>109</v>
      </c>
      <c r="C44" s="23">
        <v>1</v>
      </c>
      <c r="D44" s="25">
        <v>9</v>
      </c>
      <c r="E44" s="25">
        <f t="shared" si="0"/>
        <v>9</v>
      </c>
    </row>
    <row r="45" spans="1:30" ht="15.75" x14ac:dyDescent="0.25">
      <c r="A45" s="23" t="s">
        <v>104</v>
      </c>
      <c r="B45" s="23" t="s">
        <v>105</v>
      </c>
      <c r="C45" s="23">
        <v>1</v>
      </c>
      <c r="D45" s="25">
        <v>1454.23</v>
      </c>
      <c r="E45" s="25">
        <f t="shared" si="0"/>
        <v>1454.23</v>
      </c>
    </row>
    <row r="46" spans="1:30" ht="15.75" x14ac:dyDescent="0.25">
      <c r="A46" s="23" t="s">
        <v>107</v>
      </c>
      <c r="B46" s="23" t="s">
        <v>108</v>
      </c>
      <c r="C46" s="23">
        <v>1</v>
      </c>
      <c r="D46" s="25">
        <v>148.5</v>
      </c>
      <c r="E46" s="25">
        <f>C46*D46</f>
        <v>148.5</v>
      </c>
    </row>
    <row r="47" spans="1:30" ht="15.75" x14ac:dyDescent="0.25">
      <c r="A47" s="23" t="s">
        <v>106</v>
      </c>
      <c r="B47" s="23" t="s">
        <v>86</v>
      </c>
      <c r="C47" s="23">
        <v>1</v>
      </c>
      <c r="D47" s="25">
        <v>10.6</v>
      </c>
      <c r="E47" s="25">
        <f>C47*D47</f>
        <v>10.6</v>
      </c>
    </row>
    <row r="48" spans="1:30" ht="15.75" x14ac:dyDescent="0.25">
      <c r="A48" s="23" t="s">
        <v>55</v>
      </c>
      <c r="B48" s="23" t="s">
        <v>103</v>
      </c>
      <c r="C48" s="23">
        <v>4</v>
      </c>
      <c r="D48" s="23">
        <v>41.06</v>
      </c>
      <c r="E48" s="25">
        <f>C48*D48</f>
        <v>164.24</v>
      </c>
    </row>
    <row r="49" spans="1:5" ht="15.75" x14ac:dyDescent="0.25">
      <c r="A49" s="23" t="s">
        <v>56</v>
      </c>
      <c r="B49" s="23" t="s">
        <v>94</v>
      </c>
      <c r="C49" s="23">
        <v>21</v>
      </c>
      <c r="D49" s="25">
        <v>1</v>
      </c>
      <c r="E49" s="25">
        <f t="shared" si="0"/>
        <v>21</v>
      </c>
    </row>
    <row r="50" spans="1:5" ht="15.75" x14ac:dyDescent="0.25">
      <c r="A50" s="23" t="s">
        <v>57</v>
      </c>
      <c r="B50" s="23" t="s">
        <v>72</v>
      </c>
      <c r="C50" s="23">
        <v>1</v>
      </c>
      <c r="D50" s="25">
        <v>45.89</v>
      </c>
      <c r="E50" s="25">
        <f t="shared" si="0"/>
        <v>45.89</v>
      </c>
    </row>
    <row r="51" spans="1:5" ht="15.75" x14ac:dyDescent="0.25">
      <c r="A51" s="23" t="s">
        <v>58</v>
      </c>
      <c r="B51" s="23" t="s">
        <v>72</v>
      </c>
      <c r="C51" s="23">
        <v>1</v>
      </c>
      <c r="D51" s="25">
        <v>45.89</v>
      </c>
      <c r="E51" s="25">
        <f t="shared" si="0"/>
        <v>45.89</v>
      </c>
    </row>
    <row r="52" spans="1:5" ht="15.75" x14ac:dyDescent="0.25">
      <c r="A52" s="23" t="s">
        <v>59</v>
      </c>
      <c r="B52" s="23" t="s">
        <v>72</v>
      </c>
      <c r="C52" s="23">
        <v>1</v>
      </c>
      <c r="D52" s="25">
        <v>45.89</v>
      </c>
      <c r="E52" s="25">
        <f t="shared" si="0"/>
        <v>45.89</v>
      </c>
    </row>
    <row r="53" spans="1:5" ht="15.75" x14ac:dyDescent="0.25">
      <c r="A53" s="23" t="s">
        <v>60</v>
      </c>
      <c r="B53" s="23" t="s">
        <v>72</v>
      </c>
      <c r="C53" s="23">
        <v>1</v>
      </c>
      <c r="D53" s="25">
        <v>45.89</v>
      </c>
      <c r="E53" s="25">
        <f t="shared" si="0"/>
        <v>45.89</v>
      </c>
    </row>
    <row r="54" spans="1:5" ht="15.75" x14ac:dyDescent="0.25">
      <c r="A54" s="23" t="s">
        <v>61</v>
      </c>
      <c r="B54" s="23" t="s">
        <v>72</v>
      </c>
      <c r="C54" s="23">
        <v>1</v>
      </c>
      <c r="D54" s="25">
        <v>45.89</v>
      </c>
      <c r="E54" s="25">
        <f t="shared" si="0"/>
        <v>45.89</v>
      </c>
    </row>
    <row r="55" spans="1:5" ht="15.75" x14ac:dyDescent="0.25">
      <c r="A55" s="23" t="s">
        <v>62</v>
      </c>
      <c r="B55" s="23" t="s">
        <v>92</v>
      </c>
      <c r="C55" s="23">
        <v>2</v>
      </c>
      <c r="D55" s="25">
        <v>127.9</v>
      </c>
      <c r="E55" s="25">
        <f t="shared" si="0"/>
        <v>255.8</v>
      </c>
    </row>
    <row r="56" spans="1:5" ht="15.75" x14ac:dyDescent="0.25">
      <c r="A56" s="23" t="s">
        <v>74</v>
      </c>
      <c r="B56" s="23" t="s">
        <v>75</v>
      </c>
      <c r="C56" s="23">
        <v>1</v>
      </c>
      <c r="D56" s="25">
        <v>286.37</v>
      </c>
      <c r="E56" s="25">
        <f t="shared" si="0"/>
        <v>286.37</v>
      </c>
    </row>
    <row r="57" spans="1:5" ht="15.75" x14ac:dyDescent="0.25">
      <c r="A57" s="23" t="s">
        <v>63</v>
      </c>
      <c r="B57" s="23" t="s">
        <v>67</v>
      </c>
      <c r="C57" s="23">
        <v>19</v>
      </c>
      <c r="D57" s="25">
        <v>3.29</v>
      </c>
      <c r="E57" s="25">
        <f t="shared" si="0"/>
        <v>62.51</v>
      </c>
    </row>
    <row r="58" spans="1:5" ht="15.75" x14ac:dyDescent="0.25">
      <c r="A58" s="23" t="s">
        <v>64</v>
      </c>
      <c r="B58" s="23" t="s">
        <v>93</v>
      </c>
      <c r="C58" s="23">
        <v>4</v>
      </c>
      <c r="D58" s="25">
        <v>38.99</v>
      </c>
      <c r="E58" s="25">
        <f t="shared" si="0"/>
        <v>155.96</v>
      </c>
    </row>
    <row r="59" spans="1:5" x14ac:dyDescent="0.25">
      <c r="A59" s="10"/>
      <c r="B59" s="10"/>
      <c r="C59" s="10"/>
      <c r="D59" s="10"/>
      <c r="E59" s="11"/>
    </row>
    <row r="60" spans="1:5" x14ac:dyDescent="0.25">
      <c r="E60" s="1"/>
    </row>
    <row r="61" spans="1:5" x14ac:dyDescent="0.25">
      <c r="E61" s="1"/>
    </row>
    <row r="62" spans="1:5" x14ac:dyDescent="0.25">
      <c r="E62" s="1"/>
    </row>
    <row r="63" spans="1:5" x14ac:dyDescent="0.25">
      <c r="E63" s="1"/>
    </row>
    <row r="64" spans="1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</sheetData>
  <mergeCells count="11">
    <mergeCell ref="L27:L28"/>
    <mergeCell ref="M27:M28"/>
    <mergeCell ref="N27:AB27"/>
    <mergeCell ref="AC27:AC28"/>
    <mergeCell ref="N28:P28"/>
    <mergeCell ref="S28:T28"/>
    <mergeCell ref="U28:V28"/>
    <mergeCell ref="W28:X28"/>
    <mergeCell ref="Y28:Z28"/>
    <mergeCell ref="AA28:AB28"/>
    <mergeCell ref="Q28:R2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859BA75B0B24CBFD82B80A0577E0F" ma:contentTypeVersion="6" ma:contentTypeDescription="Crie um novo documento." ma:contentTypeScope="" ma:versionID="24dfd5aec2abed6b4b951a8fb50a18f0">
  <xsd:schema xmlns:xsd="http://www.w3.org/2001/XMLSchema" xmlns:xs="http://www.w3.org/2001/XMLSchema" xmlns:p="http://schemas.microsoft.com/office/2006/metadata/properties" xmlns:ns2="6a6ab6a4-54fc-435c-ab2a-83512e1b3d84" targetNamespace="http://schemas.microsoft.com/office/2006/metadata/properties" ma:root="true" ma:fieldsID="3835c683c31e2b817e383dc6d283a3c8" ns2:_="">
    <xsd:import namespace="6a6ab6a4-54fc-435c-ab2a-83512e1b3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ab6a4-54fc-435c-ab2a-83512e1b3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A7314E-5311-465C-AAD7-23788B0836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AB6992-6232-43D6-B421-B87107F75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E3BAAB-4556-40A0-95C9-69D00366EC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6ab6a4-54fc-435c-ab2a-83512e1b3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nilton dionisio guerra</dc:creator>
  <cp:keywords/>
  <dc:description/>
  <cp:lastModifiedBy>nilton dionisio guerra</cp:lastModifiedBy>
  <cp:revision/>
  <dcterms:created xsi:type="dcterms:W3CDTF">2021-10-27T14:01:46Z</dcterms:created>
  <dcterms:modified xsi:type="dcterms:W3CDTF">2021-11-30T10:43:29Z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0x010100755859BA75B0B24CBFD82B80A0577E0F</vt:lpwstr>
  </property>
</Properties>
</file>