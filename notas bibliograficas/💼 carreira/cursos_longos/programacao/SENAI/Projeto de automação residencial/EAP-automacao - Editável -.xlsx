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trlProps/ctrlProp98.xml" ContentType="application/vnd.ms-excel.controlproperties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abll\Downloads\"/>
    </mc:Choice>
  </mc:AlternateContent>
  <xr:revisionPtr revIDLastSave="767" documentId="8_{A1DC8EBD-A28D-439A-AEDA-4A33B48C0ADE}" xr6:coauthVersionLast="47" xr6:coauthVersionMax="47" xr10:uidLastSave="{2F198233-E0FD-4C45-9E3C-F670989E8CC0}"/>
  <bookViews>
    <workbookView xWindow="-120" yWindow="-120" windowWidth="29040" windowHeight="15840" firstSheet="2" activeTab="2" xr2:uid="{00000000-000D-0000-FFFF-FFFF00000000}"/>
  </bookViews>
  <sheets>
    <sheet name="EAP (2)" sheetId="12" r:id="rId1"/>
    <sheet name="Dicionario EAP" sheetId="8" r:id="rId2"/>
    <sheet name="Dicionario EAP2" sheetId="19" r:id="rId3"/>
    <sheet name="Checklist" sheetId="3" r:id="rId4"/>
    <sheet name="Grafico Gantt " sheetId="10" r:id="rId5"/>
    <sheet name="Controle de Versões" sheetId="2" r:id="rId6"/>
    <sheet name="APR- PAINÉIS" sheetId="28" r:id="rId7"/>
    <sheet name="APR - ILUMINAÇÃO" sheetId="26" r:id="rId8"/>
    <sheet name="APR - CENTRAL DE INCÊNDIO" sheetId="29" r:id="rId9"/>
    <sheet name="APR - ILUMINAÇÃO (2)" sheetId="30" r:id="rId10"/>
    <sheet name="APR - INTERFONE " sheetId="31" r:id="rId11"/>
    <sheet name="APR-CFTV" sheetId="32" r:id="rId12"/>
    <sheet name="APR- SISTEMA DE MONITORAMENTO " sheetId="33" r:id="rId13"/>
    <sheet name="TRAVA AUTOMATIVA" sheetId="34" r:id="rId14"/>
  </sheets>
  <definedNames>
    <definedName name="Hoje" localSheetId="4">TODAY()</definedName>
    <definedName name="Incremento_de_rolagem" localSheetId="8">#REF!</definedName>
    <definedName name="Incremento_de_rolagem" localSheetId="9">#REF!</definedName>
    <definedName name="Incremento_de_rolagem" localSheetId="10">#REF!</definedName>
    <definedName name="Incremento_de_rolagem" localSheetId="6">#REF!</definedName>
    <definedName name="Incremento_de_rolagem" localSheetId="12">#REF!</definedName>
    <definedName name="Incremento_de_rolagem" localSheetId="11">#REF!</definedName>
    <definedName name="Incremento_de_rolagem" localSheetId="4">'Grafico Gantt '!$F$4</definedName>
    <definedName name="Incremento_de_rolagem" localSheetId="13">#REF!</definedName>
    <definedName name="Incremento_de_rolagem">#REF!</definedName>
    <definedName name="Início_do_projeto" localSheetId="8">#REF!</definedName>
    <definedName name="Início_do_projeto" localSheetId="9">#REF!</definedName>
    <definedName name="Início_do_projeto" localSheetId="10">#REF!</definedName>
    <definedName name="Início_do_projeto" localSheetId="6">#REF!</definedName>
    <definedName name="Início_do_projeto" localSheetId="12">#REF!</definedName>
    <definedName name="Início_do_projeto" localSheetId="11">#REF!</definedName>
    <definedName name="Início_do_projeto" localSheetId="4">'Grafico Gantt '!$F$3</definedName>
    <definedName name="Início_do_projeto" localSheetId="13">#REF!</definedName>
    <definedName name="Início_do_projeto">#REF!</definedName>
    <definedName name="_xlnm.Print_Titles" localSheetId="4">'Grafico Gantt '!$4:$7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8" i="19" l="1"/>
  <c r="AA88" i="19"/>
  <c r="Z88" i="19"/>
  <c r="AB88" i="19"/>
  <c r="AC88" i="19"/>
  <c r="AD88" i="19"/>
  <c r="AE88" i="19"/>
  <c r="AF88" i="19"/>
  <c r="AG88" i="19"/>
  <c r="AH88" i="19"/>
  <c r="AI88" i="19"/>
  <c r="AJ88" i="19"/>
  <c r="AK88" i="19"/>
  <c r="AL88" i="19"/>
  <c r="Y88" i="19"/>
  <c r="X88" i="19"/>
  <c r="W88" i="19"/>
  <c r="S89" i="19"/>
  <c r="T89" i="19"/>
  <c r="W89" i="19" s="1"/>
  <c r="S88" i="19"/>
  <c r="U87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16" i="19"/>
  <c r="U80" i="19"/>
  <c r="U86" i="19"/>
  <c r="U85" i="19"/>
  <c r="U84" i="19"/>
  <c r="M87" i="19"/>
  <c r="S87" i="19" s="1"/>
  <c r="U16" i="19"/>
  <c r="N82" i="19"/>
  <c r="N84" i="19"/>
  <c r="N83" i="19"/>
  <c r="N80" i="19"/>
  <c r="N81" i="19"/>
  <c r="N79" i="19"/>
  <c r="N76" i="19"/>
  <c r="N77" i="19"/>
  <c r="N78" i="19"/>
  <c r="N74" i="19"/>
  <c r="N75" i="19"/>
  <c r="N70" i="19"/>
  <c r="N72" i="19"/>
  <c r="N73" i="19"/>
  <c r="N71" i="19"/>
  <c r="N69" i="19"/>
  <c r="N68" i="19"/>
  <c r="N66" i="19"/>
  <c r="N67" i="19"/>
  <c r="N65" i="19"/>
  <c r="N56" i="19"/>
  <c r="N57" i="19"/>
  <c r="N58" i="19"/>
  <c r="N59" i="19"/>
  <c r="N60" i="19"/>
  <c r="N55" i="19"/>
  <c r="N53" i="19"/>
  <c r="N54" i="19"/>
  <c r="N52" i="19"/>
  <c r="N51" i="19"/>
  <c r="N50" i="19"/>
  <c r="N49" i="19"/>
  <c r="N32" i="19"/>
  <c r="N43" i="19"/>
  <c r="N42" i="19"/>
  <c r="N41" i="19"/>
  <c r="N40" i="19"/>
  <c r="N39" i="19"/>
  <c r="N44" i="19"/>
  <c r="N45" i="19"/>
  <c r="N46" i="19"/>
  <c r="N47" i="19"/>
  <c r="N48" i="19"/>
  <c r="N38" i="19"/>
  <c r="N37" i="19"/>
  <c r="N36" i="19"/>
  <c r="N35" i="19"/>
  <c r="N33" i="19"/>
  <c r="N34" i="19"/>
  <c r="N29" i="19"/>
  <c r="N30" i="19"/>
  <c r="N31" i="19"/>
  <c r="N28" i="19"/>
  <c r="N27" i="19"/>
  <c r="N25" i="19"/>
  <c r="N18" i="19"/>
  <c r="N19" i="19"/>
  <c r="N20" i="19"/>
  <c r="N21" i="19"/>
  <c r="N22" i="19"/>
  <c r="N23" i="19"/>
  <c r="N24" i="19"/>
  <c r="N17" i="19"/>
  <c r="N16" i="19"/>
  <c r="N26" i="19"/>
  <c r="S96" i="19"/>
  <c r="S95" i="19"/>
  <c r="S94" i="19"/>
  <c r="S93" i="19"/>
  <c r="Q96" i="19"/>
  <c r="O96" i="19"/>
  <c r="M96" i="19"/>
  <c r="K96" i="19"/>
  <c r="G96" i="19"/>
  <c r="D96" i="19"/>
  <c r="Q95" i="19"/>
  <c r="O95" i="19"/>
  <c r="M95" i="19"/>
  <c r="K95" i="19"/>
  <c r="G95" i="19"/>
  <c r="D95" i="19"/>
  <c r="O94" i="19"/>
  <c r="M94" i="19"/>
  <c r="K94" i="19"/>
  <c r="G94" i="19"/>
  <c r="D94" i="19"/>
  <c r="O93" i="19"/>
  <c r="M93" i="19"/>
  <c r="K93" i="19"/>
  <c r="D93" i="19"/>
  <c r="F70" i="10"/>
  <c r="F71" i="10"/>
  <c r="F72" i="10"/>
  <c r="F73" i="10"/>
  <c r="F74" i="10"/>
  <c r="F75" i="10"/>
  <c r="F76" i="10"/>
  <c r="F77" i="10"/>
  <c r="F78" i="10"/>
  <c r="F79" i="10"/>
  <c r="F80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9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B38" i="10"/>
  <c r="B39" i="10"/>
  <c r="B40" i="10"/>
  <c r="B41" i="10"/>
  <c r="M16" i="19"/>
  <c r="L2" i="3"/>
  <c r="L3" i="3"/>
  <c r="E93" i="19" l="1"/>
  <c r="I93" i="19" s="1"/>
  <c r="R93" i="19" s="1"/>
  <c r="E94" i="19"/>
  <c r="I94" i="19" s="1"/>
  <c r="R94" i="19" s="1"/>
  <c r="R95" i="19"/>
  <c r="E95" i="19"/>
  <c r="R96" i="19"/>
  <c r="E96" i="19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4" i="3"/>
  <c r="E66" i="10"/>
  <c r="F81" i="10" l="1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9" i="10"/>
  <c r="M17" i="19"/>
  <c r="M23" i="19"/>
  <c r="M19" i="19"/>
  <c r="M18" i="19"/>
  <c r="M20" i="19"/>
  <c r="M21" i="19"/>
  <c r="M22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6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1" i="19"/>
  <c r="U82" i="19"/>
  <c r="U83" i="19"/>
  <c r="U18" i="19"/>
  <c r="U17" i="19"/>
  <c r="X14" i="19"/>
  <c r="Y14" i="19" s="1"/>
  <c r="Z14" i="19" s="1"/>
  <c r="AA14" i="19" s="1"/>
  <c r="AB14" i="19" s="1"/>
  <c r="AC14" i="19" s="1"/>
  <c r="AD14" i="19" s="1"/>
  <c r="AE14" i="19" s="1"/>
  <c r="AF14" i="19" s="1"/>
  <c r="AG14" i="19" s="1"/>
  <c r="AH14" i="19" s="1"/>
  <c r="AI14" i="19" s="1"/>
  <c r="AJ14" i="19" s="1"/>
  <c r="AK14" i="19" s="1"/>
  <c r="AL14" i="19" s="1"/>
  <c r="AM14" i="19" s="1"/>
  <c r="N85" i="19" l="1"/>
  <c r="S85" i="19"/>
  <c r="S86" i="19"/>
  <c r="N86" i="19"/>
  <c r="N87" i="19"/>
  <c r="N88" i="19" s="1"/>
  <c r="T85" i="19"/>
  <c r="E79" i="10" s="1"/>
  <c r="T48" i="19"/>
  <c r="E41" i="10" s="1"/>
  <c r="T17" i="19"/>
  <c r="E10" i="10" s="1"/>
  <c r="T84" i="19"/>
  <c r="E78" i="10" s="1"/>
  <c r="T39" i="19"/>
  <c r="E32" i="10" s="1"/>
  <c r="T83" i="19"/>
  <c r="E77" i="10" s="1"/>
  <c r="T75" i="19"/>
  <c r="E69" i="10" s="1"/>
  <c r="T69" i="19"/>
  <c r="E62" i="10" s="1"/>
  <c r="T62" i="19"/>
  <c r="E55" i="10" s="1"/>
  <c r="T54" i="19"/>
  <c r="E47" i="10" s="1"/>
  <c r="T46" i="19"/>
  <c r="E39" i="10" s="1"/>
  <c r="T30" i="19"/>
  <c r="E23" i="10" s="1"/>
  <c r="T21" i="19"/>
  <c r="E14" i="10" s="1"/>
  <c r="T64" i="19"/>
  <c r="E57" i="10" s="1"/>
  <c r="T32" i="19"/>
  <c r="E25" i="10" s="1"/>
  <c r="T55" i="19"/>
  <c r="E48" i="10" s="1"/>
  <c r="T82" i="19"/>
  <c r="E76" i="10" s="1"/>
  <c r="T61" i="19"/>
  <c r="E54" i="10" s="1"/>
  <c r="T53" i="19"/>
  <c r="E46" i="10" s="1"/>
  <c r="T45" i="19"/>
  <c r="E38" i="10" s="1"/>
  <c r="T37" i="19"/>
  <c r="E30" i="10" s="1"/>
  <c r="T56" i="19"/>
  <c r="E49" i="10" s="1"/>
  <c r="T76" i="19"/>
  <c r="E70" i="10" s="1"/>
  <c r="T22" i="19"/>
  <c r="E15" i="10" s="1"/>
  <c r="T81" i="19"/>
  <c r="E75" i="10" s="1"/>
  <c r="T74" i="19"/>
  <c r="E68" i="10" s="1"/>
  <c r="T68" i="19"/>
  <c r="E61" i="10" s="1"/>
  <c r="T60" i="19"/>
  <c r="E53" i="10" s="1"/>
  <c r="T52" i="19"/>
  <c r="E45" i="10" s="1"/>
  <c r="T36" i="19"/>
  <c r="E29" i="10" s="1"/>
  <c r="T18" i="19"/>
  <c r="E11" i="10" s="1"/>
  <c r="T63" i="19"/>
  <c r="E56" i="10" s="1"/>
  <c r="T16" i="19"/>
  <c r="E9" i="10" s="1"/>
  <c r="T80" i="19"/>
  <c r="E74" i="10" s="1"/>
  <c r="T73" i="19"/>
  <c r="E67" i="10" s="1"/>
  <c r="T67" i="19"/>
  <c r="E60" i="10" s="1"/>
  <c r="T51" i="19"/>
  <c r="E44" i="10" s="1"/>
  <c r="T43" i="19"/>
  <c r="E36" i="10" s="1"/>
  <c r="T35" i="19"/>
  <c r="E28" i="10" s="1"/>
  <c r="T27" i="19"/>
  <c r="E20" i="10" s="1"/>
  <c r="T77" i="19"/>
  <c r="E71" i="10" s="1"/>
  <c r="T24" i="19"/>
  <c r="E17" i="10" s="1"/>
  <c r="T47" i="19"/>
  <c r="E40" i="10" s="1"/>
  <c r="T79" i="19"/>
  <c r="E73" i="10" s="1"/>
  <c r="T66" i="19"/>
  <c r="E59" i="10" s="1"/>
  <c r="T58" i="19"/>
  <c r="E51" i="10" s="1"/>
  <c r="T50" i="19"/>
  <c r="E43" i="10" s="1"/>
  <c r="T42" i="19"/>
  <c r="E35" i="10" s="1"/>
  <c r="T34" i="19"/>
  <c r="E27" i="10" s="1"/>
  <c r="T26" i="19"/>
  <c r="E19" i="10" s="1"/>
  <c r="T87" i="19"/>
  <c r="E81" i="10" s="1"/>
  <c r="T71" i="19"/>
  <c r="E64" i="10" s="1"/>
  <c r="T40" i="19"/>
  <c r="E33" i="10" s="1"/>
  <c r="T70" i="19"/>
  <c r="E63" i="10" s="1"/>
  <c r="T31" i="19"/>
  <c r="E24" i="10" s="1"/>
  <c r="T86" i="19"/>
  <c r="E80" i="10" s="1"/>
  <c r="T78" i="19"/>
  <c r="E72" i="10" s="1"/>
  <c r="T72" i="19"/>
  <c r="E65" i="10" s="1"/>
  <c r="T65" i="19"/>
  <c r="E58" i="10" s="1"/>
  <c r="T57" i="19"/>
  <c r="E50" i="10" s="1"/>
  <c r="T49" i="19"/>
  <c r="E42" i="10" s="1"/>
  <c r="T41" i="19"/>
  <c r="E34" i="10" s="1"/>
  <c r="T33" i="19"/>
  <c r="E26" i="10" s="1"/>
  <c r="T25" i="19"/>
  <c r="E18" i="10" s="1"/>
  <c r="T59" i="19"/>
  <c r="E52" i="10" s="1"/>
  <c r="T29" i="19"/>
  <c r="E22" i="10" s="1"/>
  <c r="T23" i="19"/>
  <c r="E16" i="10" s="1"/>
  <c r="T44" i="19"/>
  <c r="E37" i="10" s="1"/>
  <c r="T38" i="19"/>
  <c r="E31" i="10" s="1"/>
  <c r="T20" i="19"/>
  <c r="E13" i="10" s="1"/>
  <c r="T28" i="19"/>
  <c r="E21" i="10" s="1"/>
  <c r="X89" i="19" l="1"/>
  <c r="Y89" i="19" s="1"/>
  <c r="Z89" i="19" s="1"/>
  <c r="AA89" i="19" s="1"/>
  <c r="AB89" i="19" s="1"/>
  <c r="AC89" i="19" s="1"/>
  <c r="AD89" i="19" s="1"/>
  <c r="AE89" i="19" s="1"/>
  <c r="AF89" i="19" s="1"/>
  <c r="AG89" i="19" s="1"/>
  <c r="AH89" i="19" s="1"/>
  <c r="AI89" i="19" s="1"/>
  <c r="AJ89" i="19" s="1"/>
  <c r="AK89" i="19" s="1"/>
  <c r="AL89" i="19" s="1"/>
  <c r="AM89" i="19" s="1"/>
  <c r="T19" i="19"/>
  <c r="E12" i="10" s="1"/>
  <c r="I5" i="10" l="1"/>
  <c r="I9" i="10" s="1"/>
  <c r="I4" i="10" l="1"/>
  <c r="I7" i="10"/>
  <c r="I39" i="10"/>
  <c r="I37" i="10"/>
  <c r="I36" i="10"/>
  <c r="I41" i="10"/>
  <c r="I31" i="10"/>
  <c r="I40" i="10"/>
  <c r="I34" i="10"/>
  <c r="I50" i="10"/>
  <c r="I38" i="10"/>
  <c r="I32" i="10"/>
  <c r="I35" i="10"/>
  <c r="I33" i="10"/>
  <c r="I10" i="10"/>
  <c r="J5" i="10"/>
  <c r="J7" i="10" s="1"/>
  <c r="J9" i="10" l="1"/>
  <c r="J13" i="10"/>
  <c r="K5" i="10"/>
  <c r="K7" i="10" s="1"/>
  <c r="J10" i="10"/>
  <c r="J31" i="10"/>
  <c r="J34" i="10"/>
  <c r="J35" i="10"/>
  <c r="J33" i="10"/>
  <c r="J36" i="10"/>
  <c r="J38" i="10"/>
  <c r="J40" i="10"/>
  <c r="J50" i="10"/>
  <c r="J32" i="10"/>
  <c r="J37" i="10"/>
  <c r="J41" i="10"/>
  <c r="J39" i="10"/>
  <c r="I13" i="10"/>
  <c r="I14" i="10" l="1"/>
  <c r="K15" i="10"/>
  <c r="I20" i="10"/>
  <c r="J20" i="10"/>
  <c r="J14" i="10"/>
  <c r="L5" i="10"/>
  <c r="L7" i="10" s="1"/>
  <c r="K9" i="10"/>
  <c r="K14" i="10"/>
  <c r="K13" i="10"/>
  <c r="K32" i="10"/>
  <c r="K33" i="10"/>
  <c r="K34" i="10"/>
  <c r="K35" i="10"/>
  <c r="K20" i="10"/>
  <c r="K10" i="10"/>
  <c r="K37" i="10"/>
  <c r="K39" i="10"/>
  <c r="K41" i="10"/>
  <c r="K38" i="10"/>
  <c r="K40" i="10"/>
  <c r="K36" i="10"/>
  <c r="K50" i="10"/>
  <c r="I15" i="10" l="1"/>
  <c r="J15" i="10"/>
  <c r="M5" i="10"/>
  <c r="M7" i="10" s="1"/>
  <c r="L10" i="10"/>
  <c r="L13" i="10"/>
  <c r="L20" i="10"/>
  <c r="L15" i="10"/>
  <c r="L9" i="10"/>
  <c r="L14" i="10"/>
  <c r="L32" i="10"/>
  <c r="L33" i="10"/>
  <c r="L34" i="10"/>
  <c r="L35" i="10"/>
  <c r="L36" i="10"/>
  <c r="L37" i="10"/>
  <c r="L38" i="10"/>
  <c r="L39" i="10"/>
  <c r="L40" i="10"/>
  <c r="L41" i="10"/>
  <c r="L50" i="10"/>
  <c r="L31" i="10"/>
  <c r="L27" i="10"/>
  <c r="L26" i="10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M2" i="3" s="1"/>
  <c r="N5" i="10" l="1"/>
  <c r="N7" i="10" s="1"/>
  <c r="M10" i="10"/>
  <c r="M15" i="10"/>
  <c r="M27" i="10"/>
  <c r="M13" i="10"/>
  <c r="M20" i="10"/>
  <c r="M26" i="10"/>
  <c r="M14" i="10"/>
  <c r="M9" i="10"/>
  <c r="M32" i="10"/>
  <c r="M33" i="10"/>
  <c r="M34" i="10"/>
  <c r="M35" i="10"/>
  <c r="M37" i="10"/>
  <c r="M39" i="10"/>
  <c r="M41" i="10"/>
  <c r="M31" i="10"/>
  <c r="M36" i="10"/>
  <c r="M38" i="10"/>
  <c r="M50" i="10"/>
  <c r="M40" i="10"/>
  <c r="I27" i="10"/>
  <c r="J27" i="10"/>
  <c r="K27" i="10"/>
  <c r="I26" i="10"/>
  <c r="J26" i="10"/>
  <c r="K26" i="10"/>
  <c r="L16" i="3"/>
  <c r="L15" i="3"/>
  <c r="M3" i="3"/>
  <c r="I28" i="10" l="1"/>
  <c r="N29" i="10"/>
  <c r="J28" i="10"/>
  <c r="K28" i="10"/>
  <c r="L28" i="10"/>
  <c r="M28" i="10"/>
  <c r="N9" i="10"/>
  <c r="N13" i="10"/>
  <c r="N14" i="10"/>
  <c r="N26" i="10"/>
  <c r="O5" i="10"/>
  <c r="O7" i="10" s="1"/>
  <c r="N27" i="10"/>
  <c r="N28" i="10"/>
  <c r="N20" i="10"/>
  <c r="N31" i="10"/>
  <c r="N10" i="10"/>
  <c r="N15" i="10"/>
  <c r="N35" i="10"/>
  <c r="N36" i="10"/>
  <c r="N38" i="10"/>
  <c r="N40" i="10"/>
  <c r="N50" i="10"/>
  <c r="N37" i="10"/>
  <c r="N39" i="10"/>
  <c r="N32" i="10"/>
  <c r="N34" i="10"/>
  <c r="N33" i="10"/>
  <c r="N41" i="10"/>
  <c r="M15" i="3"/>
  <c r="M16" i="3"/>
  <c r="O9" i="10" l="1"/>
  <c r="O29" i="10"/>
  <c r="O13" i="10"/>
  <c r="O20" i="10"/>
  <c r="O10" i="10"/>
  <c r="O26" i="10"/>
  <c r="O27" i="10"/>
  <c r="O28" i="10"/>
  <c r="O31" i="10"/>
  <c r="O32" i="10"/>
  <c r="O33" i="10"/>
  <c r="O34" i="10"/>
  <c r="O35" i="10"/>
  <c r="P5" i="10"/>
  <c r="P7" i="10" s="1"/>
  <c r="O14" i="10"/>
  <c r="O15" i="10"/>
  <c r="O37" i="10"/>
  <c r="O36" i="10"/>
  <c r="O38" i="10"/>
  <c r="O40" i="10"/>
  <c r="O50" i="10"/>
  <c r="O39" i="10"/>
  <c r="O41" i="10"/>
  <c r="I29" i="10"/>
  <c r="J29" i="10"/>
  <c r="K29" i="10"/>
  <c r="L29" i="10"/>
  <c r="M29" i="10"/>
  <c r="Q5" i="10" l="1"/>
  <c r="Q7" i="10" s="1"/>
  <c r="P9" i="10"/>
  <c r="P20" i="10"/>
  <c r="P28" i="10"/>
  <c r="P10" i="10"/>
  <c r="P14" i="10"/>
  <c r="P15" i="10"/>
  <c r="P29" i="10"/>
  <c r="P13" i="10"/>
  <c r="P26" i="10"/>
  <c r="P27" i="10"/>
  <c r="P31" i="10"/>
  <c r="P32" i="10"/>
  <c r="P33" i="10"/>
  <c r="P34" i="10"/>
  <c r="P35" i="10"/>
  <c r="P36" i="10"/>
  <c r="P37" i="10"/>
  <c r="P38" i="10"/>
  <c r="P39" i="10"/>
  <c r="P40" i="10"/>
  <c r="P41" i="10"/>
  <c r="P50" i="10"/>
  <c r="P30" i="10"/>
  <c r="I30" i="10"/>
  <c r="J30" i="10"/>
  <c r="K30" i="10"/>
  <c r="L30" i="10"/>
  <c r="M30" i="10"/>
  <c r="N30" i="10"/>
  <c r="O30" i="10"/>
  <c r="R5" i="10" l="1"/>
  <c r="R7" i="10" s="1"/>
  <c r="Q10" i="10"/>
  <c r="Q13" i="10"/>
  <c r="Q15" i="10"/>
  <c r="Q27" i="10"/>
  <c r="Q9" i="10"/>
  <c r="Q26" i="10"/>
  <c r="Q14" i="10"/>
  <c r="Q29" i="10"/>
  <c r="Q28" i="10"/>
  <c r="Q31" i="10"/>
  <c r="Q32" i="10"/>
  <c r="Q33" i="10"/>
  <c r="Q34" i="10"/>
  <c r="Q35" i="10"/>
  <c r="Q37" i="10"/>
  <c r="Q39" i="10"/>
  <c r="Q41" i="10"/>
  <c r="Q36" i="10"/>
  <c r="Q38" i="10"/>
  <c r="Q40" i="10"/>
  <c r="Q20" i="10"/>
  <c r="Q30" i="10"/>
  <c r="Q50" i="10"/>
  <c r="R9" i="10" l="1"/>
  <c r="R13" i="10"/>
  <c r="S5" i="10"/>
  <c r="S7" i="10" s="1"/>
  <c r="R10" i="10"/>
  <c r="R14" i="10"/>
  <c r="R26" i="10"/>
  <c r="R30" i="10"/>
  <c r="R15" i="10"/>
  <c r="R31" i="10"/>
  <c r="R20" i="10"/>
  <c r="R27" i="10"/>
  <c r="R28" i="10"/>
  <c r="R32" i="10"/>
  <c r="R33" i="10"/>
  <c r="R36" i="10"/>
  <c r="R35" i="10"/>
  <c r="R37" i="10"/>
  <c r="R39" i="10"/>
  <c r="R41" i="10"/>
  <c r="R29" i="10"/>
  <c r="R34" i="10"/>
  <c r="R40" i="10"/>
  <c r="R38" i="10"/>
  <c r="R50" i="10"/>
  <c r="T5" i="10" l="1"/>
  <c r="T7" i="10" s="1"/>
  <c r="S29" i="10"/>
  <c r="S27" i="10"/>
  <c r="S20" i="10"/>
  <c r="S28" i="10"/>
  <c r="S10" i="10"/>
  <c r="S14" i="10"/>
  <c r="S15" i="10"/>
  <c r="S30" i="10"/>
  <c r="S32" i="10"/>
  <c r="S33" i="10"/>
  <c r="S34" i="10"/>
  <c r="S35" i="10"/>
  <c r="S13" i="10"/>
  <c r="S26" i="10"/>
  <c r="S31" i="10"/>
  <c r="S36" i="10"/>
  <c r="S38" i="10"/>
  <c r="S40" i="10"/>
  <c r="S50" i="10"/>
  <c r="S37" i="10"/>
  <c r="S39" i="10"/>
  <c r="S9" i="10"/>
  <c r="S41" i="10"/>
  <c r="U5" i="10" l="1"/>
  <c r="T9" i="10"/>
  <c r="T20" i="10"/>
  <c r="T28" i="10"/>
  <c r="T29" i="10"/>
  <c r="T30" i="10"/>
  <c r="T31" i="10"/>
  <c r="T10" i="10"/>
  <c r="T32" i="10"/>
  <c r="T33" i="10"/>
  <c r="T34" i="10"/>
  <c r="T35" i="10"/>
  <c r="T36" i="10"/>
  <c r="T37" i="10"/>
  <c r="T38" i="10"/>
  <c r="T39" i="10"/>
  <c r="T40" i="10"/>
  <c r="T41" i="10"/>
  <c r="T50" i="10"/>
  <c r="T13" i="10"/>
  <c r="T26" i="10"/>
  <c r="T27" i="10"/>
  <c r="T14" i="10"/>
  <c r="T15" i="10"/>
  <c r="V5" i="10" l="1"/>
  <c r="U10" i="10"/>
  <c r="U7" i="10"/>
  <c r="U9" i="10"/>
  <c r="U15" i="10"/>
  <c r="U27" i="10"/>
  <c r="U13" i="10"/>
  <c r="U14" i="10"/>
  <c r="U20" i="10"/>
  <c r="U26" i="10"/>
  <c r="U29" i="10"/>
  <c r="U28" i="10"/>
  <c r="U30" i="10"/>
  <c r="U31" i="10"/>
  <c r="U32" i="10"/>
  <c r="U33" i="10"/>
  <c r="U34" i="10"/>
  <c r="U35" i="10"/>
  <c r="U36" i="10"/>
  <c r="U38" i="10"/>
  <c r="U40" i="10"/>
  <c r="U50" i="10"/>
  <c r="U37" i="10"/>
  <c r="U41" i="10"/>
  <c r="U39" i="10"/>
  <c r="V7" i="10" l="1"/>
  <c r="V9" i="10"/>
  <c r="V13" i="10"/>
  <c r="V14" i="10"/>
  <c r="V26" i="10"/>
  <c r="V30" i="10"/>
  <c r="V27" i="10"/>
  <c r="V20" i="10"/>
  <c r="V29" i="10"/>
  <c r="V31" i="10"/>
  <c r="V15" i="10"/>
  <c r="W5" i="10"/>
  <c r="W9" i="10" s="1"/>
  <c r="V10" i="10"/>
  <c r="V33" i="10"/>
  <c r="V37" i="10"/>
  <c r="V39" i="10"/>
  <c r="V41" i="10"/>
  <c r="V38" i="10"/>
  <c r="V40" i="10"/>
  <c r="V50" i="10"/>
  <c r="V28" i="10"/>
  <c r="V32" i="10"/>
  <c r="V35" i="10"/>
  <c r="V36" i="10"/>
  <c r="V34" i="10"/>
  <c r="W10" i="10" l="1"/>
  <c r="W13" i="10"/>
  <c r="W29" i="10"/>
  <c r="W15" i="10"/>
  <c r="W26" i="10"/>
  <c r="X5" i="10"/>
  <c r="W7" i="10"/>
  <c r="W27" i="10"/>
  <c r="W14" i="10"/>
  <c r="W28" i="10"/>
  <c r="W32" i="10"/>
  <c r="W33" i="10"/>
  <c r="W34" i="10"/>
  <c r="W35" i="10"/>
  <c r="W20" i="10"/>
  <c r="W30" i="10"/>
  <c r="W31" i="10"/>
  <c r="W37" i="10"/>
  <c r="W39" i="10"/>
  <c r="W41" i="10"/>
  <c r="W36" i="10"/>
  <c r="W50" i="10"/>
  <c r="W40" i="10"/>
  <c r="W38" i="10"/>
  <c r="Y5" i="10" l="1"/>
  <c r="X20" i="10"/>
  <c r="X28" i="10"/>
  <c r="X7" i="10"/>
  <c r="X10" i="10"/>
  <c r="X27" i="10"/>
  <c r="X13" i="10"/>
  <c r="X14" i="10"/>
  <c r="X15" i="10"/>
  <c r="X9" i="10"/>
  <c r="X26" i="10"/>
  <c r="X30" i="10"/>
  <c r="X29" i="10"/>
  <c r="X32" i="10"/>
  <c r="X33" i="10"/>
  <c r="X34" i="10"/>
  <c r="X35" i="10"/>
  <c r="X36" i="10"/>
  <c r="X37" i="10"/>
  <c r="X38" i="10"/>
  <c r="X39" i="10"/>
  <c r="X40" i="10"/>
  <c r="X41" i="10"/>
  <c r="X50" i="10"/>
  <c r="X31" i="10"/>
  <c r="Z5" i="10" l="1"/>
  <c r="Y10" i="10"/>
  <c r="Y7" i="10"/>
  <c r="Y9" i="10"/>
  <c r="Y15" i="10"/>
  <c r="Y27" i="10"/>
  <c r="Y28" i="10"/>
  <c r="Y13" i="10"/>
  <c r="Y14" i="10"/>
  <c r="Y31" i="10"/>
  <c r="Y20" i="10"/>
  <c r="Y29" i="10"/>
  <c r="Y32" i="10"/>
  <c r="Y33" i="10"/>
  <c r="Y34" i="10"/>
  <c r="Y35" i="10"/>
  <c r="Y26" i="10"/>
  <c r="Y36" i="10"/>
  <c r="Y38" i="10"/>
  <c r="Y40" i="10"/>
  <c r="Y50" i="10"/>
  <c r="Y37" i="10"/>
  <c r="Y39" i="10"/>
  <c r="Y30" i="10"/>
  <c r="Y41" i="10"/>
  <c r="Z7" i="10" l="1"/>
  <c r="Z9" i="10"/>
  <c r="Z13" i="10"/>
  <c r="AA5" i="10"/>
  <c r="Z14" i="10"/>
  <c r="Z26" i="10"/>
  <c r="Z30" i="10"/>
  <c r="Z20" i="10"/>
  <c r="Z10" i="10"/>
  <c r="Z29" i="10"/>
  <c r="Z15" i="10"/>
  <c r="Z28" i="10"/>
  <c r="Z31" i="10"/>
  <c r="Z27" i="10"/>
  <c r="Z34" i="10"/>
  <c r="Z33" i="10"/>
  <c r="Z36" i="10"/>
  <c r="Z38" i="10"/>
  <c r="Z40" i="10"/>
  <c r="Z50" i="10"/>
  <c r="Z32" i="10"/>
  <c r="Z35" i="10"/>
  <c r="Z41" i="10"/>
  <c r="Z39" i="10"/>
  <c r="Z37" i="10"/>
  <c r="AB5" i="10" l="1"/>
  <c r="AA7" i="10"/>
  <c r="AA9" i="10"/>
  <c r="AA29" i="10"/>
  <c r="AA14" i="10"/>
  <c r="AA20" i="10"/>
  <c r="AA10" i="10"/>
  <c r="AA26" i="10"/>
  <c r="AA27" i="10"/>
  <c r="AA30" i="10"/>
  <c r="AA32" i="10"/>
  <c r="AA33" i="10"/>
  <c r="AA34" i="10"/>
  <c r="AA35" i="10"/>
  <c r="AA15" i="10"/>
  <c r="AA28" i="10"/>
  <c r="AA31" i="10"/>
  <c r="AA13" i="10"/>
  <c r="AA37" i="10"/>
  <c r="AA39" i="10"/>
  <c r="AA41" i="10"/>
  <c r="AA38" i="10"/>
  <c r="AA36" i="10"/>
  <c r="AA40" i="10"/>
  <c r="AA50" i="10"/>
  <c r="AC5" i="10" l="1"/>
  <c r="AB10" i="10"/>
  <c r="AB13" i="10"/>
  <c r="AB20" i="10"/>
  <c r="AB28" i="10"/>
  <c r="AB9" i="10"/>
  <c r="AB15" i="10"/>
  <c r="AB26" i="10"/>
  <c r="AB27" i="10"/>
  <c r="AB7" i="10"/>
  <c r="AB29" i="10"/>
  <c r="AB14" i="10"/>
  <c r="AB30" i="10"/>
  <c r="AB32" i="10"/>
  <c r="AB33" i="10"/>
  <c r="AB34" i="10"/>
  <c r="AB35" i="10"/>
  <c r="AB36" i="10"/>
  <c r="AB37" i="10"/>
  <c r="AB38" i="10"/>
  <c r="AB39" i="10"/>
  <c r="AB40" i="10"/>
  <c r="AB41" i="10"/>
  <c r="AB50" i="10"/>
  <c r="AB31" i="10"/>
  <c r="AD5" i="10" l="1"/>
  <c r="AC10" i="10"/>
  <c r="AC15" i="10"/>
  <c r="AC27" i="10"/>
  <c r="AC13" i="10"/>
  <c r="AC26" i="10"/>
  <c r="AC20" i="10"/>
  <c r="AC30" i="10"/>
  <c r="AC9" i="10"/>
  <c r="AC7" i="10"/>
  <c r="AC14" i="10"/>
  <c r="AC28" i="10"/>
  <c r="AC32" i="10"/>
  <c r="AC33" i="10"/>
  <c r="AC34" i="10"/>
  <c r="AC35" i="10"/>
  <c r="AC29" i="10"/>
  <c r="AC36" i="10"/>
  <c r="AC37" i="10"/>
  <c r="AC39" i="10"/>
  <c r="AC41" i="10"/>
  <c r="AC31" i="10"/>
  <c r="AC50" i="10"/>
  <c r="AC40" i="10"/>
  <c r="AC38" i="10"/>
  <c r="AD7" i="10" l="1"/>
  <c r="AD9" i="10"/>
  <c r="AD13" i="10"/>
  <c r="AD14" i="10"/>
  <c r="AD26" i="10"/>
  <c r="AD30" i="10"/>
  <c r="AE5" i="10"/>
  <c r="AD28" i="10"/>
  <c r="AD27" i="10"/>
  <c r="AD31" i="10"/>
  <c r="AD29" i="10"/>
  <c r="AD15" i="10"/>
  <c r="AD20" i="10"/>
  <c r="AD35" i="10"/>
  <c r="AD36" i="10"/>
  <c r="AD38" i="10"/>
  <c r="AD40" i="10"/>
  <c r="AD50" i="10"/>
  <c r="AD37" i="10"/>
  <c r="AD39" i="10"/>
  <c r="AD10" i="10"/>
  <c r="AD34" i="10"/>
  <c r="AD33" i="10"/>
  <c r="AD41" i="10"/>
  <c r="AD32" i="10"/>
  <c r="AE7" i="10" l="1"/>
  <c r="AE9" i="10"/>
  <c r="AE29" i="10"/>
  <c r="AE10" i="10"/>
  <c r="AE20" i="10"/>
  <c r="AE14" i="10"/>
  <c r="AE15" i="10"/>
  <c r="AF5" i="10"/>
  <c r="AE26" i="10"/>
  <c r="AE28" i="10"/>
  <c r="AE13" i="10"/>
  <c r="AE31" i="10"/>
  <c r="AE32" i="10"/>
  <c r="AE33" i="10"/>
  <c r="AE34" i="10"/>
  <c r="AE35" i="10"/>
  <c r="AE27" i="10"/>
  <c r="AE30" i="10"/>
  <c r="AE36" i="10"/>
  <c r="AE38" i="10"/>
  <c r="AE40" i="10"/>
  <c r="AE50" i="10"/>
  <c r="AE37" i="10"/>
  <c r="AE41" i="10"/>
  <c r="AE39" i="10"/>
  <c r="AG5" i="10" l="1"/>
  <c r="AF7" i="10"/>
  <c r="AF9" i="10"/>
  <c r="AF20" i="10"/>
  <c r="AF28" i="10"/>
  <c r="AF14" i="10"/>
  <c r="AF13" i="10"/>
  <c r="AF29" i="10"/>
  <c r="AF15" i="10"/>
  <c r="AF10" i="10"/>
  <c r="AF26" i="10"/>
  <c r="AF31" i="10"/>
  <c r="AF32" i="10"/>
  <c r="AF33" i="10"/>
  <c r="AF34" i="10"/>
  <c r="AF35" i="10"/>
  <c r="AF36" i="10"/>
  <c r="AF37" i="10"/>
  <c r="AF38" i="10"/>
  <c r="AF39" i="10"/>
  <c r="AF40" i="10"/>
  <c r="AF41" i="10"/>
  <c r="AF50" i="10"/>
  <c r="AF27" i="10"/>
  <c r="AF30" i="10"/>
  <c r="AH5" i="10" l="1"/>
  <c r="AG10" i="10"/>
  <c r="AG13" i="10"/>
  <c r="AG15" i="10"/>
  <c r="AG27" i="10"/>
  <c r="AG26" i="10"/>
  <c r="AG14" i="10"/>
  <c r="AG29" i="10"/>
  <c r="AG20" i="10"/>
  <c r="AG30" i="10"/>
  <c r="AG9" i="10"/>
  <c r="AG31" i="10"/>
  <c r="AG32" i="10"/>
  <c r="AG33" i="10"/>
  <c r="AG34" i="10"/>
  <c r="AG35" i="10"/>
  <c r="AG37" i="10"/>
  <c r="AG39" i="10"/>
  <c r="AG41" i="10"/>
  <c r="AG38" i="10"/>
  <c r="AG40" i="10"/>
  <c r="AG50" i="10"/>
  <c r="AG28" i="10"/>
  <c r="AG36" i="10"/>
  <c r="AG7" i="10"/>
  <c r="AH7" i="10" l="1"/>
  <c r="AH9" i="10"/>
  <c r="AH13" i="10"/>
  <c r="AI5" i="10"/>
  <c r="AH10" i="10"/>
  <c r="AH14" i="10"/>
  <c r="AH26" i="10"/>
  <c r="AH15" i="10"/>
  <c r="AH20" i="10"/>
  <c r="AH27" i="10"/>
  <c r="AH30" i="10"/>
  <c r="AH31" i="10"/>
  <c r="AH28" i="10"/>
  <c r="AH29" i="10"/>
  <c r="AH32" i="10"/>
  <c r="AH35" i="10"/>
  <c r="AH37" i="10"/>
  <c r="AH39" i="10"/>
  <c r="AH41" i="10"/>
  <c r="AH34" i="10"/>
  <c r="AH33" i="10"/>
  <c r="AH36" i="10"/>
  <c r="AH38" i="10"/>
  <c r="AH50" i="10"/>
  <c r="AH40" i="10"/>
  <c r="AJ5" i="10" l="1"/>
  <c r="AI29" i="10"/>
  <c r="AI7" i="10"/>
  <c r="AI9" i="10"/>
  <c r="AI10" i="10"/>
  <c r="AI28" i="10"/>
  <c r="AI13" i="10"/>
  <c r="AI20" i="10"/>
  <c r="AI27" i="10"/>
  <c r="AI32" i="10"/>
  <c r="AI33" i="10"/>
  <c r="AI34" i="10"/>
  <c r="AI35" i="10"/>
  <c r="AI30" i="10"/>
  <c r="AI26" i="10"/>
  <c r="AI14" i="10"/>
  <c r="AI15" i="10"/>
  <c r="AI36" i="10"/>
  <c r="AI38" i="10"/>
  <c r="AI40" i="10"/>
  <c r="AI50" i="10"/>
  <c r="AI37" i="10"/>
  <c r="AI39" i="10"/>
  <c r="AI31" i="10"/>
  <c r="AI41" i="10"/>
  <c r="AK5" i="10" l="1"/>
  <c r="AJ7" i="10"/>
  <c r="AJ9" i="10"/>
  <c r="AJ20" i="10"/>
  <c r="AJ28" i="10"/>
  <c r="AJ13" i="10"/>
  <c r="AJ26" i="10"/>
  <c r="AJ10" i="10"/>
  <c r="AJ14" i="10"/>
  <c r="AJ15" i="10"/>
  <c r="AJ31" i="10"/>
  <c r="AJ32" i="10"/>
  <c r="AJ33" i="10"/>
  <c r="AJ34" i="10"/>
  <c r="AJ35" i="10"/>
  <c r="AJ36" i="10"/>
  <c r="AJ37" i="10"/>
  <c r="AJ38" i="10"/>
  <c r="AJ39" i="10"/>
  <c r="AJ40" i="10"/>
  <c r="AJ41" i="10"/>
  <c r="AJ50" i="10"/>
  <c r="AJ29" i="10"/>
  <c r="AJ30" i="10"/>
  <c r="AJ27" i="10"/>
  <c r="AL5" i="10" l="1"/>
  <c r="AK10" i="10"/>
  <c r="AK7" i="10"/>
  <c r="AK9" i="10"/>
  <c r="AK15" i="10"/>
  <c r="AK27" i="10"/>
  <c r="AK14" i="10"/>
  <c r="AK20" i="10"/>
  <c r="AK29" i="10"/>
  <c r="AK26" i="10"/>
  <c r="AK28" i="10"/>
  <c r="AK13" i="10"/>
  <c r="AK31" i="10"/>
  <c r="AK32" i="10"/>
  <c r="AK33" i="10"/>
  <c r="AK34" i="10"/>
  <c r="AK35" i="10"/>
  <c r="AK30" i="10"/>
  <c r="AK36" i="10"/>
  <c r="AK38" i="10"/>
  <c r="AK40" i="10"/>
  <c r="AK50" i="10"/>
  <c r="AK39" i="10"/>
  <c r="AK37" i="10"/>
  <c r="AK41" i="10"/>
  <c r="AL7" i="10" l="1"/>
  <c r="AL9" i="10"/>
  <c r="AL13" i="10"/>
  <c r="AL14" i="10"/>
  <c r="AL26" i="10"/>
  <c r="AL10" i="10"/>
  <c r="AL15" i="10"/>
  <c r="AL29" i="10"/>
  <c r="AL30" i="10"/>
  <c r="AL31" i="10"/>
  <c r="AL27" i="10"/>
  <c r="AL20" i="10"/>
  <c r="AL28" i="10"/>
  <c r="AL33" i="10"/>
  <c r="AL37" i="10"/>
  <c r="AL39" i="10"/>
  <c r="AL41" i="10"/>
  <c r="AL36" i="10"/>
  <c r="AL38" i="10"/>
  <c r="AL40" i="10"/>
  <c r="AL50" i="10"/>
  <c r="AL34" i="10"/>
  <c r="AM5" i="10"/>
  <c r="AL32" i="10"/>
  <c r="AL35" i="10"/>
  <c r="AM10" i="10" l="1"/>
  <c r="AM13" i="10"/>
  <c r="AM29" i="10"/>
  <c r="AM9" i="10"/>
  <c r="AM15" i="10"/>
  <c r="AM26" i="10"/>
  <c r="AM7" i="10"/>
  <c r="AM14" i="10"/>
  <c r="AM27" i="10"/>
  <c r="AN5" i="10"/>
  <c r="AM30" i="10"/>
  <c r="AM32" i="10"/>
  <c r="AM33" i="10"/>
  <c r="AM34" i="10"/>
  <c r="AM20" i="10"/>
  <c r="AM28" i="10"/>
  <c r="AM31" i="10"/>
  <c r="AM35" i="10"/>
  <c r="AM36" i="10"/>
  <c r="AM37" i="10"/>
  <c r="AM39" i="10"/>
  <c r="AM41" i="10"/>
  <c r="AM40" i="10"/>
  <c r="AM38" i="10"/>
  <c r="AM50" i="10"/>
  <c r="AO5" i="10" l="1"/>
  <c r="AN20" i="10"/>
  <c r="AN28" i="10"/>
  <c r="AN7" i="10"/>
  <c r="AN9" i="10"/>
  <c r="AN14" i="10"/>
  <c r="AN15" i="10"/>
  <c r="AN27" i="10"/>
  <c r="AN10" i="10"/>
  <c r="AN30" i="10"/>
  <c r="AN32" i="10"/>
  <c r="AN33" i="10"/>
  <c r="AN34" i="10"/>
  <c r="AN35" i="10"/>
  <c r="AN36" i="10"/>
  <c r="AN37" i="10"/>
  <c r="AN38" i="10"/>
  <c r="AN39" i="10"/>
  <c r="AN40" i="10"/>
  <c r="AN41" i="10"/>
  <c r="AN50" i="10"/>
  <c r="AN13" i="10"/>
  <c r="AN29" i="10"/>
  <c r="AN31" i="10"/>
  <c r="AN26" i="10"/>
  <c r="AP5" i="10" l="1"/>
  <c r="AO10" i="10"/>
  <c r="AO7" i="10"/>
  <c r="AO9" i="10"/>
  <c r="AO15" i="10"/>
  <c r="AO27" i="10"/>
  <c r="AO13" i="10"/>
  <c r="AO20" i="10"/>
  <c r="AO28" i="10"/>
  <c r="AO26" i="10"/>
  <c r="AO29" i="10"/>
  <c r="AO31" i="10"/>
  <c r="AO14" i="10"/>
  <c r="AO30" i="10"/>
  <c r="AO32" i="10"/>
  <c r="AO33" i="10"/>
  <c r="AO34" i="10"/>
  <c r="AO35" i="10"/>
  <c r="AO36" i="10"/>
  <c r="AO38" i="10"/>
  <c r="AO40" i="10"/>
  <c r="AO50" i="10"/>
  <c r="AO37" i="10"/>
  <c r="AO39" i="10"/>
  <c r="AO41" i="10"/>
  <c r="AP7" i="10" l="1"/>
  <c r="AP9" i="10"/>
  <c r="AP13" i="10"/>
  <c r="AQ5" i="10"/>
  <c r="AP14" i="10"/>
  <c r="AP26" i="10"/>
  <c r="AP20" i="10"/>
  <c r="AP28" i="10"/>
  <c r="AP30" i="10"/>
  <c r="AP31" i="10"/>
  <c r="AP15" i="10"/>
  <c r="AP27" i="10"/>
  <c r="AP29" i="10"/>
  <c r="AP10" i="10"/>
  <c r="AP34" i="10"/>
  <c r="AP35" i="10"/>
  <c r="AP33" i="10"/>
  <c r="AP36" i="10"/>
  <c r="AP38" i="10"/>
  <c r="AP40" i="10"/>
  <c r="AP50" i="10"/>
  <c r="AP32" i="10"/>
  <c r="AP41" i="10"/>
  <c r="AP39" i="10"/>
  <c r="AP37" i="10"/>
  <c r="AR5" i="10" l="1"/>
  <c r="AQ7" i="10"/>
  <c r="AQ9" i="10"/>
  <c r="AQ29" i="10"/>
  <c r="AQ13" i="10"/>
  <c r="AQ14" i="10"/>
  <c r="AQ10" i="10"/>
  <c r="AQ26" i="10"/>
  <c r="AQ20" i="10"/>
  <c r="AQ32" i="10"/>
  <c r="AQ33" i="10"/>
  <c r="AQ34" i="10"/>
  <c r="AQ31" i="10"/>
  <c r="AQ15" i="10"/>
  <c r="AQ27" i="10"/>
  <c r="AQ37" i="10"/>
  <c r="AQ39" i="10"/>
  <c r="AQ41" i="10"/>
  <c r="AQ38" i="10"/>
  <c r="AQ40" i="10"/>
  <c r="AQ30" i="10"/>
  <c r="AQ35" i="10"/>
  <c r="AQ36" i="10"/>
  <c r="AQ50" i="10"/>
  <c r="AQ28" i="10"/>
  <c r="AS5" i="10" l="1"/>
  <c r="AR10" i="10"/>
  <c r="AR13" i="10"/>
  <c r="AR20" i="10"/>
  <c r="AR28" i="10"/>
  <c r="AR15" i="10"/>
  <c r="AR26" i="10"/>
  <c r="AR27" i="10"/>
  <c r="AR29" i="10"/>
  <c r="AR7" i="10"/>
  <c r="AR30" i="10"/>
  <c r="AR32" i="10"/>
  <c r="AR33" i="10"/>
  <c r="AR34" i="10"/>
  <c r="AR35" i="10"/>
  <c r="AR36" i="10"/>
  <c r="AR37" i="10"/>
  <c r="AR38" i="10"/>
  <c r="AR39" i="10"/>
  <c r="AR40" i="10"/>
  <c r="AR41" i="10"/>
  <c r="AR50" i="10"/>
  <c r="AR9" i="10"/>
  <c r="AR14" i="10"/>
  <c r="AR31" i="10"/>
  <c r="AT5" i="10" l="1"/>
  <c r="AS10" i="10"/>
  <c r="AS15" i="10"/>
  <c r="AS27" i="10"/>
  <c r="AS7" i="10"/>
  <c r="AS14" i="10"/>
  <c r="AS13" i="10"/>
  <c r="AS26" i="10"/>
  <c r="AS28" i="10"/>
  <c r="AS30" i="10"/>
  <c r="AS29" i="10"/>
  <c r="AS32" i="10"/>
  <c r="AS33" i="10"/>
  <c r="AS34" i="10"/>
  <c r="AS35" i="10"/>
  <c r="AS20" i="10"/>
  <c r="AS31" i="10"/>
  <c r="AS37" i="10"/>
  <c r="AS39" i="10"/>
  <c r="AS41" i="10"/>
  <c r="AS9" i="10"/>
  <c r="AS36" i="10"/>
  <c r="AS50" i="10"/>
  <c r="AS40" i="10"/>
  <c r="AS38" i="10"/>
  <c r="AT7" i="10" l="1"/>
  <c r="AT9" i="10"/>
  <c r="AT13" i="10"/>
  <c r="AT14" i="10"/>
  <c r="AT26" i="10"/>
  <c r="AU5" i="10"/>
  <c r="AT10" i="10"/>
  <c r="AT15" i="10"/>
  <c r="AT28" i="10"/>
  <c r="AT27" i="10"/>
  <c r="AT30" i="10"/>
  <c r="AT31" i="10"/>
  <c r="AT20" i="10"/>
  <c r="AT36" i="10"/>
  <c r="AT38" i="10"/>
  <c r="AT40" i="10"/>
  <c r="AT50" i="10"/>
  <c r="AT37" i="10"/>
  <c r="AT39" i="10"/>
  <c r="AT32" i="10"/>
  <c r="AT29" i="10"/>
  <c r="AT34" i="10"/>
  <c r="AT33" i="10"/>
  <c r="AT35" i="10"/>
  <c r="AT41" i="10"/>
  <c r="AU7" i="10" l="1"/>
  <c r="AU9" i="10"/>
  <c r="AU29" i="10"/>
  <c r="AU20" i="10"/>
  <c r="AV5" i="10"/>
  <c r="AU10" i="10"/>
  <c r="AU14" i="10"/>
  <c r="AU15" i="10"/>
  <c r="AU28" i="10"/>
  <c r="AU31" i="10"/>
  <c r="AU32" i="10"/>
  <c r="AU33" i="10"/>
  <c r="AU34" i="10"/>
  <c r="AU26" i="10"/>
  <c r="AU30" i="10"/>
  <c r="AU13" i="10"/>
  <c r="AU36" i="10"/>
  <c r="AU38" i="10"/>
  <c r="AU40" i="10"/>
  <c r="AU50" i="10"/>
  <c r="AU27" i="10"/>
  <c r="AU35" i="10"/>
  <c r="AU41" i="10"/>
  <c r="AU39" i="10"/>
  <c r="AU37" i="10"/>
  <c r="AW5" i="10" l="1"/>
  <c r="AV7" i="10"/>
  <c r="AV9" i="10"/>
  <c r="AV20" i="10"/>
  <c r="AV28" i="10"/>
  <c r="AV14" i="10"/>
  <c r="AV13" i="10"/>
  <c r="AV27" i="10"/>
  <c r="AV29" i="10"/>
  <c r="AV31" i="10"/>
  <c r="AV32" i="10"/>
  <c r="AV33" i="10"/>
  <c r="AV34" i="10"/>
  <c r="AV35" i="10"/>
  <c r="AV36" i="10"/>
  <c r="AV37" i="10"/>
  <c r="AV38" i="10"/>
  <c r="AV39" i="10"/>
  <c r="AV40" i="10"/>
  <c r="AV41" i="10"/>
  <c r="AV50" i="10"/>
  <c r="AV26" i="10"/>
  <c r="AV15" i="10"/>
  <c r="AV10" i="10"/>
  <c r="AV30" i="10"/>
  <c r="AX5" i="10" l="1"/>
  <c r="AW10" i="10"/>
  <c r="AW13" i="10"/>
  <c r="AW15" i="10"/>
  <c r="AW27" i="10"/>
  <c r="AW9" i="10"/>
  <c r="AW26" i="10"/>
  <c r="AW20" i="10"/>
  <c r="AW29" i="10"/>
  <c r="AW30" i="10"/>
  <c r="AW7" i="10"/>
  <c r="AW28" i="10"/>
  <c r="AW31" i="10"/>
  <c r="AW32" i="10"/>
  <c r="AW33" i="10"/>
  <c r="AW34" i="10"/>
  <c r="AW35" i="10"/>
  <c r="AW37" i="10"/>
  <c r="AW39" i="10"/>
  <c r="AW41" i="10"/>
  <c r="AW38" i="10"/>
  <c r="AW50" i="10"/>
  <c r="AW14" i="10"/>
  <c r="AW36" i="10"/>
  <c r="AW40" i="10"/>
  <c r="AX7" i="10" l="1"/>
  <c r="AX9" i="10"/>
  <c r="AX13" i="10"/>
  <c r="AY5" i="10"/>
  <c r="AX10" i="10"/>
  <c r="AX14" i="10"/>
  <c r="AX26" i="10"/>
  <c r="AX15" i="10"/>
  <c r="AX27" i="10"/>
  <c r="AX20" i="10"/>
  <c r="AX30" i="10"/>
  <c r="AX31" i="10"/>
  <c r="AX29" i="10"/>
  <c r="AX28" i="10"/>
  <c r="AX32" i="10"/>
  <c r="AX35" i="10"/>
  <c r="AX33" i="10"/>
  <c r="AX36" i="10"/>
  <c r="AX37" i="10"/>
  <c r="AX39" i="10"/>
  <c r="AX41" i="10"/>
  <c r="AX34" i="10"/>
  <c r="AX50" i="10"/>
  <c r="AX40" i="10"/>
  <c r="AX38" i="10"/>
  <c r="AZ5" i="10" l="1"/>
  <c r="AY29" i="10"/>
  <c r="AY13" i="10"/>
  <c r="AY7" i="10"/>
  <c r="AY9" i="10"/>
  <c r="AY26" i="10"/>
  <c r="AY28" i="10"/>
  <c r="AY27" i="10"/>
  <c r="AY10" i="10"/>
  <c r="AY14" i="10"/>
  <c r="AY15" i="10"/>
  <c r="AY32" i="10"/>
  <c r="AY33" i="10"/>
  <c r="AY34" i="10"/>
  <c r="AY20" i="10"/>
  <c r="AY30" i="10"/>
  <c r="AY36" i="10"/>
  <c r="AY38" i="10"/>
  <c r="AY40" i="10"/>
  <c r="AY50" i="10"/>
  <c r="AY37" i="10"/>
  <c r="AY39" i="10"/>
  <c r="AY35" i="10"/>
  <c r="AY31" i="10"/>
  <c r="AY41" i="10"/>
  <c r="BA5" i="10" l="1"/>
  <c r="AZ7" i="10"/>
  <c r="AZ9" i="10"/>
  <c r="AZ20" i="10"/>
  <c r="AZ28" i="10"/>
  <c r="AZ10" i="10"/>
  <c r="AZ13" i="10"/>
  <c r="AZ14" i="10"/>
  <c r="AZ15" i="10"/>
  <c r="AZ26" i="10"/>
  <c r="AZ31" i="10"/>
  <c r="AZ27" i="10"/>
  <c r="AZ32" i="10"/>
  <c r="AZ33" i="10"/>
  <c r="AZ34" i="10"/>
  <c r="AZ35" i="10"/>
  <c r="AZ36" i="10"/>
  <c r="AZ37" i="10"/>
  <c r="AZ38" i="10"/>
  <c r="AZ39" i="10"/>
  <c r="AZ40" i="10"/>
  <c r="AZ41" i="10"/>
  <c r="AZ50" i="10"/>
  <c r="AZ29" i="10"/>
  <c r="AZ30" i="10"/>
  <c r="BB5" i="10" l="1"/>
  <c r="BA10" i="10"/>
  <c r="BA7" i="10"/>
  <c r="BA9" i="10"/>
  <c r="BA15" i="10"/>
  <c r="BA27" i="10"/>
  <c r="BA14" i="10"/>
  <c r="BA20" i="10"/>
  <c r="BA13" i="10"/>
  <c r="BA28" i="10"/>
  <c r="BA31" i="10"/>
  <c r="BA32" i="10"/>
  <c r="BA33" i="10"/>
  <c r="BA34" i="10"/>
  <c r="BA35" i="10"/>
  <c r="BA30" i="10"/>
  <c r="BA36" i="10"/>
  <c r="BA38" i="10"/>
  <c r="BA40" i="10"/>
  <c r="BA50" i="10"/>
  <c r="BA26" i="10"/>
  <c r="BA29" i="10"/>
  <c r="BA37" i="10"/>
  <c r="BA41" i="10"/>
  <c r="BA39" i="10"/>
  <c r="BB7" i="10" l="1"/>
  <c r="BB9" i="10"/>
  <c r="BB13" i="10"/>
  <c r="BB14" i="10"/>
  <c r="BB26" i="10"/>
  <c r="BB10" i="10"/>
  <c r="BC5" i="10"/>
  <c r="BB15" i="10"/>
  <c r="BB29" i="10"/>
  <c r="BB30" i="10"/>
  <c r="BB31" i="10"/>
  <c r="BB20" i="10"/>
  <c r="BB27" i="10"/>
  <c r="BB28" i="10"/>
  <c r="BB33" i="10"/>
  <c r="BB37" i="10"/>
  <c r="BB39" i="10"/>
  <c r="BB41" i="10"/>
  <c r="BB36" i="10"/>
  <c r="BB38" i="10"/>
  <c r="BB40" i="10"/>
  <c r="BB32" i="10"/>
  <c r="BB35" i="10"/>
  <c r="BB50" i="10"/>
  <c r="BB34" i="10"/>
  <c r="BC10" i="10" l="1"/>
  <c r="BC13" i="10"/>
  <c r="BC29" i="10"/>
  <c r="BC15" i="10"/>
  <c r="BC26" i="10"/>
  <c r="BC20" i="10"/>
  <c r="BC27" i="10"/>
  <c r="BC7" i="10"/>
  <c r="BC9" i="10"/>
  <c r="BC14" i="10"/>
  <c r="BC28" i="10"/>
  <c r="BC30" i="10"/>
  <c r="BC32" i="10"/>
  <c r="BC33" i="10"/>
  <c r="BC34" i="10"/>
  <c r="BD5" i="10"/>
  <c r="BC31" i="10"/>
  <c r="BC35" i="10"/>
  <c r="BC37" i="10"/>
  <c r="BC39" i="10"/>
  <c r="BC41" i="10"/>
  <c r="BC36" i="10"/>
  <c r="BC38" i="10"/>
  <c r="BC50" i="10"/>
  <c r="BC40" i="10"/>
  <c r="BE5" i="10" l="1"/>
  <c r="BD20" i="10"/>
  <c r="BD28" i="10"/>
  <c r="BD7" i="10"/>
  <c r="BD10" i="10"/>
  <c r="BD27" i="10"/>
  <c r="BD9" i="10"/>
  <c r="BD26" i="10"/>
  <c r="BD29" i="10"/>
  <c r="BD13" i="10"/>
  <c r="BD14" i="10"/>
  <c r="BD15" i="10"/>
  <c r="BD30" i="10"/>
  <c r="BD32" i="10"/>
  <c r="BD33" i="10"/>
  <c r="BD34" i="10"/>
  <c r="BD35" i="10"/>
  <c r="BD36" i="10"/>
  <c r="BD37" i="10"/>
  <c r="BD38" i="10"/>
  <c r="BD39" i="10"/>
  <c r="BD40" i="10"/>
  <c r="BD41" i="10"/>
  <c r="BD50" i="10"/>
  <c r="BD31" i="10"/>
  <c r="BF5" i="10" l="1"/>
  <c r="BE10" i="10"/>
  <c r="BE7" i="10"/>
  <c r="BE9" i="10"/>
  <c r="BE15" i="10"/>
  <c r="BE27" i="10"/>
  <c r="BE13" i="10"/>
  <c r="BE26" i="10"/>
  <c r="BE28" i="10"/>
  <c r="BE20" i="10"/>
  <c r="BE31" i="10"/>
  <c r="BE29" i="10"/>
  <c r="BE14" i="10"/>
  <c r="BE30" i="10"/>
  <c r="BE32" i="10"/>
  <c r="BE33" i="10"/>
  <c r="BE34" i="10"/>
  <c r="BE35" i="10"/>
  <c r="BE36" i="10"/>
  <c r="BE38" i="10"/>
  <c r="BE40" i="10"/>
  <c r="BE50" i="10"/>
  <c r="BE37" i="10"/>
  <c r="BE39" i="10"/>
  <c r="BE41" i="10"/>
  <c r="BF7" i="10" l="1"/>
  <c r="BF9" i="10"/>
  <c r="BG5" i="10"/>
  <c r="BF14" i="10"/>
  <c r="BF26" i="10"/>
  <c r="BF20" i="10"/>
  <c r="BF28" i="10"/>
  <c r="BF30" i="10"/>
  <c r="BF31" i="10"/>
  <c r="BF10" i="10"/>
  <c r="BF13" i="10"/>
  <c r="BF15" i="10"/>
  <c r="BF29" i="10"/>
  <c r="BF34" i="10"/>
  <c r="BF35" i="10"/>
  <c r="BF27" i="10"/>
  <c r="BF33" i="10"/>
  <c r="BF36" i="10"/>
  <c r="BF38" i="10"/>
  <c r="BF40" i="10"/>
  <c r="BF50" i="10"/>
  <c r="BF32" i="10"/>
  <c r="BF39" i="10"/>
  <c r="BF37" i="10"/>
  <c r="BF41" i="10"/>
  <c r="BH5" i="10" l="1"/>
  <c r="BG7" i="10"/>
  <c r="BG9" i="10"/>
  <c r="BG13" i="10"/>
  <c r="BG29" i="10"/>
  <c r="BG10" i="10"/>
  <c r="BG14" i="10"/>
  <c r="BG15" i="10"/>
  <c r="BG26" i="10"/>
  <c r="BG27" i="10"/>
  <c r="BG32" i="10"/>
  <c r="BG33" i="10"/>
  <c r="BG34" i="10"/>
  <c r="BG28" i="10"/>
  <c r="BG31" i="10"/>
  <c r="BG30" i="10"/>
  <c r="BG37" i="10"/>
  <c r="BG39" i="10"/>
  <c r="BG41" i="10"/>
  <c r="BG38" i="10"/>
  <c r="BG50" i="10"/>
  <c r="BG35" i="10"/>
  <c r="BG20" i="10"/>
  <c r="BG36" i="10"/>
  <c r="BG40" i="10"/>
  <c r="BI5" i="10" l="1"/>
  <c r="BH10" i="10"/>
  <c r="BH20" i="10"/>
  <c r="BH28" i="10"/>
  <c r="BH9" i="10"/>
  <c r="BH15" i="10"/>
  <c r="BH26" i="10"/>
  <c r="BH13" i="10"/>
  <c r="BH14" i="10"/>
  <c r="BH27" i="10"/>
  <c r="BH29" i="10"/>
  <c r="BH30" i="10"/>
  <c r="BH32" i="10"/>
  <c r="BH33" i="10"/>
  <c r="BH34" i="10"/>
  <c r="BH35" i="10"/>
  <c r="BH36" i="10"/>
  <c r="BH37" i="10"/>
  <c r="BH38" i="10"/>
  <c r="BH39" i="10"/>
  <c r="BH40" i="10"/>
  <c r="BH41" i="10"/>
  <c r="BH50" i="10"/>
  <c r="BH7" i="10"/>
  <c r="BH31" i="10"/>
  <c r="BJ5" i="10" l="1"/>
  <c r="BI10" i="10"/>
  <c r="BI15" i="10"/>
  <c r="BI27" i="10"/>
  <c r="BI13" i="10"/>
  <c r="BI14" i="10"/>
  <c r="BI20" i="10"/>
  <c r="BI9" i="10"/>
  <c r="BI26" i="10"/>
  <c r="BI30" i="10"/>
  <c r="BI28" i="10"/>
  <c r="BI32" i="10"/>
  <c r="BI33" i="10"/>
  <c r="BI34" i="10"/>
  <c r="BI35" i="10"/>
  <c r="BI7" i="10"/>
  <c r="BI31" i="10"/>
  <c r="BI36" i="10"/>
  <c r="BI37" i="10"/>
  <c r="BI39" i="10"/>
  <c r="BI41" i="10"/>
  <c r="BI29" i="10"/>
  <c r="BI40" i="10"/>
  <c r="BI38" i="10"/>
  <c r="BI50" i="10"/>
  <c r="BJ7" i="10" l="1"/>
  <c r="BJ9" i="10"/>
  <c r="BJ14" i="10"/>
  <c r="BJ26" i="10"/>
  <c r="BK5" i="10"/>
  <c r="BJ13" i="10"/>
  <c r="BJ20" i="10"/>
  <c r="BJ28" i="10"/>
  <c r="BJ15" i="10"/>
  <c r="BJ27" i="10"/>
  <c r="BJ30" i="10"/>
  <c r="BJ31" i="10"/>
  <c r="BJ29" i="10"/>
  <c r="BJ10" i="10"/>
  <c r="BJ36" i="10"/>
  <c r="BJ38" i="10"/>
  <c r="BJ40" i="10"/>
  <c r="BJ50" i="10"/>
  <c r="BJ33" i="10"/>
  <c r="BJ37" i="10"/>
  <c r="BJ39" i="10"/>
  <c r="BJ34" i="10"/>
  <c r="BJ35" i="10"/>
  <c r="BJ41" i="10"/>
  <c r="BJ32" i="10"/>
  <c r="BK7" i="10" l="1"/>
  <c r="BK13" i="10"/>
  <c r="BK29" i="10"/>
  <c r="BK20" i="10"/>
  <c r="BK9" i="10"/>
  <c r="BK10" i="10"/>
  <c r="BK28" i="10"/>
  <c r="BK31" i="10"/>
  <c r="BK32" i="10"/>
  <c r="BK33" i="10"/>
  <c r="BK34" i="10"/>
  <c r="BK27" i="10"/>
  <c r="BL5" i="10"/>
  <c r="BK26" i="10"/>
  <c r="BK30" i="10"/>
  <c r="BK35" i="10"/>
  <c r="BK36" i="10"/>
  <c r="BK38" i="10"/>
  <c r="BK40" i="10"/>
  <c r="BK50" i="10"/>
  <c r="BK14" i="10"/>
  <c r="BK15" i="10"/>
  <c r="BK41" i="10"/>
  <c r="BK39" i="10"/>
  <c r="BK37" i="10"/>
  <c r="BL7" i="10" l="1"/>
  <c r="BL9" i="10"/>
  <c r="BL20" i="10"/>
  <c r="BL28" i="10"/>
  <c r="BL14" i="10"/>
  <c r="BL26" i="10"/>
  <c r="BL10" i="10"/>
  <c r="BL15" i="10"/>
  <c r="BL29" i="10"/>
  <c r="BL31" i="10"/>
  <c r="BL32" i="10"/>
  <c r="BL33" i="10"/>
  <c r="BL34" i="10"/>
  <c r="BL35" i="10"/>
  <c r="BL36" i="10"/>
  <c r="BL37" i="10"/>
  <c r="BL38" i="10"/>
  <c r="BL39" i="10"/>
  <c r="BL40" i="10"/>
  <c r="BL41" i="10"/>
  <c r="BL50" i="10"/>
  <c r="BL27" i="10"/>
  <c r="BL30" i="10"/>
  <c r="BL13" i="10"/>
</calcChain>
</file>

<file path=xl/sharedStrings.xml><?xml version="1.0" encoding="utf-8"?>
<sst xmlns="http://schemas.openxmlformats.org/spreadsheetml/2006/main" count="2325" uniqueCount="803">
  <si>
    <t>Lider</t>
  </si>
  <si>
    <t>Leandro Costa Ferreira</t>
  </si>
  <si>
    <t>DATA DE INICIO
13/08/2023</t>
  </si>
  <si>
    <t>DATA DE ENTREGA
01/12/2022</t>
  </si>
  <si>
    <t>Equipe</t>
  </si>
  <si>
    <t>Pétrick Gomes</t>
  </si>
  <si>
    <t>Cosme Sousa</t>
  </si>
  <si>
    <t>Damião Sousa</t>
  </si>
  <si>
    <t>Nilton Guerra</t>
  </si>
  <si>
    <r>
      <rPr>
        <sz val="72"/>
        <color rgb="FFFFFFFF"/>
        <rFont val="Arial"/>
      </rPr>
      <t>João Miranda</t>
    </r>
    <r>
      <rPr>
        <sz val="11"/>
        <color rgb="FFFFFFFF"/>
        <rFont val="Arial"/>
      </rPr>
      <t xml:space="preserve">
</t>
    </r>
  </si>
  <si>
    <t>PLANEJAMENTO</t>
  </si>
  <si>
    <t>Termo de Abertura do Projeto (TAP)</t>
  </si>
  <si>
    <t>Pacote de Trabalho</t>
  </si>
  <si>
    <t>Descrição</t>
  </si>
  <si>
    <t>Criterios de Aceitação</t>
  </si>
  <si>
    <t xml:space="preserve">(R) Responsavel </t>
  </si>
  <si>
    <t>(A) Autoridade</t>
  </si>
  <si>
    <t>(C) Consultado</t>
  </si>
  <si>
    <t>(I) Informado</t>
  </si>
  <si>
    <t xml:space="preserve">O quê? </t>
  </si>
  <si>
    <t>Por quê?</t>
  </si>
  <si>
    <t>Onde?</t>
  </si>
  <si>
    <t>quem?</t>
  </si>
  <si>
    <t>Como?</t>
  </si>
  <si>
    <t>Formalização do Projeto.</t>
  </si>
  <si>
    <t>A Formalização do Projeto, é uma garantia que o grupo tem para impulsionar adequadamento o projeto. É importante , pois oficializa as metas que foram cumpridas, gerandos obrigações. Serve para assegurar a entrega do projeto.</t>
  </si>
  <si>
    <t>Especificar o objetivo central do projeto.</t>
  </si>
  <si>
    <t>Todos integrantes</t>
  </si>
  <si>
    <t xml:space="preserve">Leandro  Costa Ferreira
Pétrick Gomes                           </t>
  </si>
  <si>
    <t>Formalizar o projeto e as obrigações de todos os integrantes.</t>
  </si>
  <si>
    <t>Criar responsabilidade para os integrantes do grupo, para auxiliar no desenvolvimento do projeto e inserção dos integrantes nele.</t>
  </si>
  <si>
    <t>Sala de aula C13.</t>
  </si>
  <si>
    <t>Todos os integrantes do grupo</t>
  </si>
  <si>
    <t>Através de um brainstorm de todos os integrantes que irá ser registrado na  TAP no projeto</t>
  </si>
  <si>
    <t>Estrutura e organização das ideias do projeto.</t>
  </si>
  <si>
    <t>Estruturar e organizar o projeto é uma etapa importante para que os integrantes tenham o controle sobre as ideias e tarefas que serão executadas.</t>
  </si>
  <si>
    <t>Direcionar os integrantes a seus objetivos.</t>
  </si>
  <si>
    <t>Estruturar as ideias do projeto.</t>
  </si>
  <si>
    <t>Ter uma lógistica de tarefas fácil de se gerir .</t>
  </si>
  <si>
    <t>Análise dos Integrantes pelo metodo SWOT.</t>
  </si>
  <si>
    <t>Analisar os integrantes por meio do método SWOT é um ponto extremamente relevante que serve para conhecer as limitaçãoes de cada um, facilitandona definição de funções.</t>
  </si>
  <si>
    <t>Facilitar o reconhecimento das limitações e acrecismos dos integrantes do Projeto.</t>
  </si>
  <si>
    <t xml:space="preserve">Leandro  Costa                           </t>
  </si>
  <si>
    <t>verificar as forças e fraquezas de todos os integrantes do grupo.</t>
  </si>
  <si>
    <t>Facilitar na atribuição de tarefas de todos os integrantes do grupo.</t>
  </si>
  <si>
    <t>Atribuição de Responsabilidades e Funções.</t>
  </si>
  <si>
    <t>Atribuir responsabilidades e funções de acordo com a capacidade  de cada um é um ponto importante para o desenvolvimento do trabalho, pois cada integrante pode ser responsabilizado por uma função que tenha maior facilidade na realização.</t>
  </si>
  <si>
    <t xml:space="preserve"> Atribuição de reponsabilidades de integrantes expecificos em determinadas temas.</t>
  </si>
  <si>
    <t>Atribuir responsabilidades a todos os integrantes do grupo.</t>
  </si>
  <si>
    <t>Agilizar a realização do projeto</t>
  </si>
  <si>
    <t>Sala de aula C08</t>
  </si>
  <si>
    <t>Revisão.</t>
  </si>
  <si>
    <t>Revisar o que já foi feito nesta tarefa por cada integrante. Sempre visando o aperfeiçoamento do documento ou trabalho, caso necessário.</t>
  </si>
  <si>
    <t>Gerar um aprimoramento no que já foi feito.</t>
  </si>
  <si>
    <t xml:space="preserve">Leandro  Costa  Ferreira                         </t>
  </si>
  <si>
    <t>Revisar o trabalho</t>
  </si>
  <si>
    <t>Corrigir possiveis erros gramáticais e</t>
  </si>
  <si>
    <t>Consultando integrantes do grupo e professores.</t>
  </si>
  <si>
    <t>Validação.</t>
  </si>
  <si>
    <t>Validar o trabalho feito nesta etapa e revisar caso seja necessário.</t>
  </si>
  <si>
    <t>Cumprir com os criterios passados em sala de aula e do PMBOK.</t>
  </si>
  <si>
    <t xml:space="preserve">Orientadores </t>
  </si>
  <si>
    <t>Validação</t>
  </si>
  <si>
    <t>Fazer uma segunda revisão para verificar possiveis erros.</t>
  </si>
  <si>
    <t xml:space="preserve">Consultando professores </t>
  </si>
  <si>
    <t>Escopo</t>
  </si>
  <si>
    <t>Definição de Etapas.</t>
  </si>
  <si>
    <t>Definir a ordem de como e quando será feito cada etapa.</t>
  </si>
  <si>
    <t>Definir e separar as principais renponsabilidades em etapas.</t>
  </si>
  <si>
    <t>Cosme Sousa
Damião Sousa
Nilton Guerra</t>
  </si>
  <si>
    <t>Definir como e quando serão realizadas as atividas e etapas do projeto.</t>
  </si>
  <si>
    <t>Facilitar a gestão do projeto.</t>
  </si>
  <si>
    <t>Através de um brainstrom entre os integrantes do grupo e usando uma planilha do excel definimos as etapas do projeto</t>
  </si>
  <si>
    <t>Definição de Tarefas.</t>
  </si>
  <si>
    <t>Definir quais tarefas e subtarefas a serem executadas em cada  etapa do processo.</t>
  </si>
  <si>
    <t>Desmembrar as etapas em tarefas.</t>
  </si>
  <si>
    <t>Facilitar na gestão do projeto</t>
  </si>
  <si>
    <t xml:space="preserve">Através de um brainstrom entre os integrantes do grupo nos definimos onde cada tarefa se alocará </t>
  </si>
  <si>
    <t>Dicionario.</t>
  </si>
  <si>
    <t>Descrição de cada subtarefa e definir os responsaveis pela  execução conforme o nivel de responsabilidade mostrado na tabela RACI e na analise SWOT.</t>
  </si>
  <si>
    <t>Direcionar de maneira mais profundada a todos os processos do projeto.</t>
  </si>
  <si>
    <t xml:space="preserve">Leandro  Costa Ferreira
Pétrick Gomes   
João Miranda                        </t>
  </si>
  <si>
    <t xml:space="preserve">Descrever as tarefas a serem executadas pelos integrantes baseado na análise SWOT e RACI </t>
  </si>
  <si>
    <t>Facilitar na gestão do projeto e trazer mais facilidade na execução do trabalho</t>
  </si>
  <si>
    <t>Através de uma divisão dos integrantes nos montamos o dicionário da EAP usando e software da microsoft Excel.</t>
  </si>
  <si>
    <t>Revisar o que foi já feito nesta tarefa por cada integrante, aperfeiçoando o documento, caso necessário.</t>
  </si>
  <si>
    <t>Gerar um aprimoramento naquilo que já foi executado.</t>
  </si>
  <si>
    <t xml:space="preserve">Leandro  Costa Ferreira
Pétrick Gomes                      </t>
  </si>
  <si>
    <t>Revisar o que se foi feito.</t>
  </si>
  <si>
    <t xml:space="preserve">verificar se o que foi feito está bom e sugerir possiveis melhorias. </t>
  </si>
  <si>
    <t>Uma leitura da TAP pelo lider e vice-lider</t>
  </si>
  <si>
    <t>Validar o trabalho feito nesta etapa e revisar caso necessário.</t>
  </si>
  <si>
    <t>validar o trabalho que foi feito nessa etapa</t>
  </si>
  <si>
    <t>Verificar se o que foi feito está bom.</t>
  </si>
  <si>
    <t>Cronograma</t>
  </si>
  <si>
    <t xml:space="preserve">Análise do escopo </t>
  </si>
  <si>
    <t>Analisar o escopo é importante para a organização do grupo em relação a tarefas e responsabilidades.</t>
  </si>
  <si>
    <t>Finalidade do Projeto, a meta final.</t>
  </si>
  <si>
    <t>Leandro  Costa                                 Pétrick Gomes</t>
  </si>
  <si>
    <t xml:space="preserve"> Cosme Sousa
  Damião Sousa</t>
  </si>
  <si>
    <t>Análisar o escopo</t>
  </si>
  <si>
    <t>Criar o sentimento para cada integrantes de responsabilidade com a tarefa atribuida a ele.</t>
  </si>
  <si>
    <t>C13</t>
  </si>
  <si>
    <t>Leandro Costa
Petrick Gomes</t>
  </si>
  <si>
    <t>Através de uma conversa entre os integrantes nos iremos revidar as divições das tarefas</t>
  </si>
  <si>
    <t>Definição do tempo de trabalho</t>
  </si>
  <si>
    <t>Definir o tempo de trabalho é de extrema importância, pois serve para estimar prazos e também para ter o controle do tempo que será gasto com cada etapa, facilitando a organização do projeto.</t>
  </si>
  <si>
    <t>Levar um tempo de trabalho necessario e esperado.</t>
  </si>
  <si>
    <t>Definir o tempo para realizar cada etapa</t>
  </si>
  <si>
    <t xml:space="preserve">Permitir que entregue o projeto a tempo </t>
  </si>
  <si>
    <t>Através da formula de PER,  usando o software Excel e uma brainstorm com todos os integrantes definimos as tarefas a serem realizadas.</t>
  </si>
  <si>
    <t>Definição de datas de entrega</t>
  </si>
  <si>
    <t>Designar as datas de entrega é extremamente importante para  a organização e a finalização do projeto, com uma data de entrega pré-definida, os integrantes conseguem se organizar e definir tarefas facilmente.</t>
  </si>
  <si>
    <t>Levar uma elaboração antecipada.</t>
  </si>
  <si>
    <t>Definir datas para a entrega de cada parte do trabalho</t>
  </si>
  <si>
    <t>Através da formula de PER,  usando o software Excel e uma brainstorm de todos os integrantes definimos as tarefas a serem realizadas.</t>
  </si>
  <si>
    <t>Revisão</t>
  </si>
  <si>
    <t>Leandro  Costa  Ferreira                               Pétrick Gomes</t>
  </si>
  <si>
    <t>Sujerir posiveis melhorias e evitar possiveis erros</t>
  </si>
  <si>
    <t>Validar o documento feito nessa etapa e revisar caso necessário.</t>
  </si>
  <si>
    <t>Cumprir com os criterios passados em aula e do PMBOK.</t>
  </si>
  <si>
    <t>validar o que se foi feito</t>
  </si>
  <si>
    <t>Analises de 
Risco do Projeto</t>
  </si>
  <si>
    <t>Avaliação de impacto</t>
  </si>
  <si>
    <t>Avaliar os possiveis riscos que podem prejudicar o projeto.</t>
  </si>
  <si>
    <t>Levantar  os possiveis riscos.</t>
  </si>
  <si>
    <t xml:space="preserve">Avaliar os possíveis riscos do projeto </t>
  </si>
  <si>
    <t>evitar/ amenizar os riscos ao projeto</t>
  </si>
  <si>
    <t>Através de um brainstorm de todos os responsaveis iremos abordar possiveis estratégias para evitar os riscos.</t>
  </si>
  <si>
    <t>Avaliação de probabilidade</t>
  </si>
  <si>
    <t>Avaliar a probabilidade desses riscos acontecerem e quando pode ser que aconteçam.</t>
  </si>
  <si>
    <t>Preparar-se sob a probabilidade dos riscos.</t>
  </si>
  <si>
    <t>Avaliar a probabilidade dos riscos acontecerem.</t>
  </si>
  <si>
    <t>Fazer preparações de acordo com o nivel de probabilidade.</t>
  </si>
  <si>
    <t>Através de um brainstorm de todos os responsaveis considerar quais os riscos mais prováveis.</t>
  </si>
  <si>
    <t>Peso de risco</t>
  </si>
  <si>
    <t>O quão pode ser prejucial caso algum risco aconteça e o que fazer para nos recuperar.</t>
  </si>
  <si>
    <t>Gerar possiveis consequencias.</t>
  </si>
  <si>
    <t>definir o quão grave é o risco e as medidas de supressão dele.</t>
  </si>
  <si>
    <t>definir o que será feito caso um risco aconteça.</t>
  </si>
  <si>
    <t>Burndown chart</t>
  </si>
  <si>
    <t>É um grafico que demonstra o tempo versus o trabalho a ser feito.</t>
  </si>
  <si>
    <t>Comparar o tempo trabalho com a meta.</t>
  </si>
  <si>
    <t>Fazer um gráfico de acompanhamento do trabalho</t>
  </si>
  <si>
    <t>Saber que velocidade o projeto está caminhando para poder gerar uma possivel data de entrega.</t>
  </si>
  <si>
    <t>Através da formula de PER iremos desenvolver quanto tempo é necessário para a execução de cada tarefa do projeto e com essa informação iremos estimar uma valor em pontos para cada atividade que por fim será usado no gráfico do burndown chart juntamente com o tempo disponivel.</t>
  </si>
  <si>
    <t>INSTALAÇÃO</t>
  </si>
  <si>
    <t>Painéis</t>
  </si>
  <si>
    <t>Dimencionar quadro de distribuição</t>
  </si>
  <si>
    <t>Definir o tamanho do quadro de distribuição com o objetivo de trazer uma sensação visial melhor e facilitar possiveis aprimoramentos da instalação.</t>
  </si>
  <si>
    <t>permitir que todos os quadros de energia possam ser instalados dentro do quadro de distribuição</t>
  </si>
  <si>
    <t>Todos os integrantes</t>
  </si>
  <si>
    <t>Usar a escala de mm para definir o tamanho do quadro de distribuição que conterá os quadros de iluminação, CFTV e alarme de incêndio.</t>
  </si>
  <si>
    <t>Para trazer uma sensação visual melhor, evitar gastos desnecessários e facilitar possiveis aprimoramentos da instalação.</t>
  </si>
  <si>
    <t>oficina IELI 1</t>
  </si>
  <si>
    <t>Cosme Alves
Damião Alves</t>
  </si>
  <si>
    <t>Através de um técnico altamente treinado irá ser feito um dimenciosamento do sistema elétrico da instalação e com essa insformação iremos definir a quantidade de componentes necessarios para a instalação e assim a dimenção do quadro</t>
  </si>
  <si>
    <t>dimencionar quadro de força.</t>
  </si>
  <si>
    <t>Proteger os circuitos da instalação  de qualquer anormalidade da rede de energia.</t>
  </si>
  <si>
    <t>proteger o circuito de iluminação</t>
  </si>
  <si>
    <t>Usar disjuntor, DPS e DR para a proteção do circuito de iluminação.</t>
  </si>
  <si>
    <t>proteger o circuito.</t>
  </si>
  <si>
    <t>Usando os conhecimento adquiridos pelo curso de eletroeletrônica do SENAI, iremos dimencionar o quadro de força</t>
  </si>
  <si>
    <t>Instalação do CFTV</t>
  </si>
  <si>
    <t>Passagem de cabos</t>
  </si>
  <si>
    <t>Fazer a transmição de dados e de energia elétrica através de eletrocalhas e eletrodutos</t>
  </si>
  <si>
    <t>Fazer a alimentação das câmeras e do DRV com condutores isolados e sem imendas nos eletrodutos.</t>
  </si>
  <si>
    <t xml:space="preserve">Damião sousa </t>
  </si>
  <si>
    <t>Passar os cabos pelos eletrodutos.</t>
  </si>
  <si>
    <t>Permitir a alimentação dos componentes</t>
  </si>
  <si>
    <t>Nilton Guerra
Cosme Alves</t>
  </si>
  <si>
    <t>Fazer o dimensionamento dos cabos para a instalação das câmeras</t>
  </si>
  <si>
    <t>Instalar câmeras</t>
  </si>
  <si>
    <t>colocar as câmeras nos locais previamente definidos para possibilitar o monitoramento dos locais.</t>
  </si>
  <si>
    <t>Fixar firme as câmeras e fazer a alimentação e a transmição de dados com facilidade.</t>
  </si>
  <si>
    <t>Instalar apoios para as câmeras através de parafusos e porcas, para logo em seguida colocar as câmeras.</t>
  </si>
  <si>
    <t>Para permitir a monitoração de locais previamentes desiginados.</t>
  </si>
  <si>
    <t>definir  posição para instalação das câmeras</t>
  </si>
  <si>
    <t>Instalar Central</t>
  </si>
  <si>
    <t>Instalar o DVR e o monitor para  possibilitar o acompanhamento da vigilância dos locais.</t>
  </si>
  <si>
    <t>Permitir a comunicação do monitor com o DRV</t>
  </si>
  <si>
    <t xml:space="preserve">Leandro  Costa Ferreira                          </t>
  </si>
  <si>
    <t>usar o cabo VGA para comunicar o DVR com o monitor e alimentar ambos.</t>
  </si>
  <si>
    <t>Para permitir o acompanhamneto da vigilância dos locais pelo monitor.</t>
  </si>
  <si>
    <t>Interligação do DVR com o monitor</t>
  </si>
  <si>
    <t>Interligar as câmeras com a central</t>
  </si>
  <si>
    <t>Permitir a transmição de dados entre as câmeras e o DVR</t>
  </si>
  <si>
    <t>Permitir a visualização dos pontos de vigilância no monitor</t>
  </si>
  <si>
    <t>usando o conector P4 macho e fême e o cabo coaxial fazer o interligamento da câmera com o DVR.</t>
  </si>
  <si>
    <t>Comunicar o DVR com as câmeras.</t>
  </si>
  <si>
    <t>Interligação das câmeras com  Central para ser feito monitoriamento com  DVR</t>
  </si>
  <si>
    <t>Instalação da central</t>
  </si>
  <si>
    <t>Passagem de cabos.</t>
  </si>
  <si>
    <t>Permitir que haja a transmição de energia</t>
  </si>
  <si>
    <t>Que os cabos passados sejam alimentados e devidamente isolados sem imentas nos eletrodutos.</t>
  </si>
  <si>
    <t>Nilton Gerra</t>
  </si>
  <si>
    <t>Usando um guia passa fio  iremos direcionar os cabos para suas devidas posições já estipuladas no planejamento.</t>
  </si>
  <si>
    <t>Instalar sensores e atuadores manuais.</t>
  </si>
  <si>
    <t>permitir que haja a sensibilidade para captar fumaça.</t>
  </si>
  <si>
    <t>Ligar todas as coneções dos sensores corretamente.</t>
  </si>
  <si>
    <t>instalar os sensores de fumaça respeitando as suas coneções com a central de incêndio,1:1,2:2,3:3,4:4</t>
  </si>
  <si>
    <t>Permitir a captura de fumaça</t>
  </si>
  <si>
    <t>Usando a escada e uma chave de fenda iremos instalar os sensores de fumaça respeitando a posição de cada cabo.</t>
  </si>
  <si>
    <t>Instalar Central.</t>
  </si>
  <si>
    <t>Definir um local específico para gerenciar o controle de incêndios.</t>
  </si>
  <si>
    <t>Fazer a comunicação entre central de alarme de incêndio e sesores de fumaça.</t>
  </si>
  <si>
    <t>posicionar um local especifico para gerenciar o controle de incêndio</t>
  </si>
  <si>
    <t>ter um controle mais rápido e eficiente do sistema de incêndio</t>
  </si>
  <si>
    <t>definir uma posição para a central de incêndio que não incomode ninguém</t>
  </si>
  <si>
    <t>Instalação de Iluminação</t>
  </si>
  <si>
    <t>Usando um passa fio  iremos direcionar os cabos para suas devidas posições já estipuladas no planejamento.</t>
  </si>
  <si>
    <t>Instalar lâmpadas LED</t>
  </si>
  <si>
    <t>Iluminar os recintos através de uma lampada LED de valor especificado na NBR5410.</t>
  </si>
  <si>
    <t>Fazer as lampadas acenderem.</t>
  </si>
  <si>
    <t>Fazer a instalação dos receptaculos, e logo em seguida colocar as lampadas LED</t>
  </si>
  <si>
    <t>Iluminar o ambiente</t>
  </si>
  <si>
    <t>Usando uma escada  iremos instalar a lampada no receptaculo.</t>
  </si>
  <si>
    <t>Instalação dos interruptores móveis.</t>
  </si>
  <si>
    <t>Facilitar  a configução dos interruptores móvéis com o objetivo de trazer mais conforto no acionamento da iluminação do local.</t>
  </si>
  <si>
    <t>Fazer a instalação dos interruptores móveis com condutores sem imendas e sem partes de cobre a mostra.</t>
  </si>
  <si>
    <t>Instalação dos interruptores móveis</t>
  </si>
  <si>
    <t>configução dos interruptores móvéis com o
objetivo de trazer conforto.</t>
  </si>
  <si>
    <t>usando o interruptor móvel, um interruptor pulsador e o aplicativo do interruptor idemos sincronizar-los.</t>
  </si>
  <si>
    <t>Configuração dos interruptores móveis</t>
  </si>
  <si>
    <t>Configurar os interruptores móveis para que possa ocorrer o acionamento da iluminação do recintos de maneira mais cômoda.</t>
  </si>
  <si>
    <t>Fazer os interruptores móveis funcionarem</t>
  </si>
  <si>
    <t>configuração dos interruptores</t>
  </si>
  <si>
    <t>Usando o aplicativo do interruptor movél iremos configurar o aplicativo.</t>
  </si>
  <si>
    <t>Instalação do sistema de monitoramento</t>
  </si>
  <si>
    <t>Fixar o monitor de energia.</t>
  </si>
  <si>
    <t>Fazer a instalação do quadro de monitoramento de energia.</t>
  </si>
  <si>
    <t>Fazer o monitor de energia ligar.</t>
  </si>
  <si>
    <t>Leandro Costa Ferreira
João Miranda</t>
  </si>
  <si>
    <t>Fazer a instalação do monitor de energia em um painel</t>
  </si>
  <si>
    <t>Maior conforto visual e segurança</t>
  </si>
  <si>
    <t xml:space="preserve"> Instalação do quadro de monitoramento de energia ao lado do quadro de distribuição</t>
  </si>
  <si>
    <t>Interligar com o circuito das instalações.</t>
  </si>
  <si>
    <t>colocar o circuito em serie com o quadro de força com o objetivo de fazer a medição do consumo de energia.</t>
  </si>
  <si>
    <t>Fazer o monitor de energia funcionar.</t>
  </si>
  <si>
    <t>colocar o circuito em serie com o quadro de energia através de suas respectivas conexões</t>
  </si>
  <si>
    <t>monitorar o circuito</t>
  </si>
  <si>
    <t>Interligar com o circuito para fazer o monitoramento</t>
  </si>
  <si>
    <t>Conferir funcionamento.</t>
  </si>
  <si>
    <t>Verificarse se o monitor de energia está funcionando corretamente, com o objetivo de evitar possiveis erros de medição.</t>
  </si>
  <si>
    <t>confirmar que o monitor de energia está funcionando corretamente.</t>
  </si>
  <si>
    <t>Usando um multimetro, o monitor de energia e uma carga verificar se os resultados batem</t>
  </si>
  <si>
    <t>Validar se o aparelho está funcionando corretamente</t>
  </si>
  <si>
    <t>Usando um multimetro iremos validar a medição do monitor de consumo de energia.</t>
  </si>
  <si>
    <t>Instalação da Assistente de Voz</t>
  </si>
  <si>
    <t>Configuração da assistente.</t>
  </si>
  <si>
    <t>Fazer a programação e configurações da alexa atraves do aplicativo.</t>
  </si>
  <si>
    <t>Controlar alexa pelo app.</t>
  </si>
  <si>
    <t>João Miranda
Nilton Guerra</t>
  </si>
  <si>
    <t>Leandro Costa Ferreirta</t>
  </si>
  <si>
    <t>fazer a programação e configurações da alexa atraves do aplicativo</t>
  </si>
  <si>
    <t>Permitir que o acionamento da iluminação através do celular</t>
  </si>
  <si>
    <t>Usando o aplicativo da Alexa no smartfone iremos configurar a assistente de voz.</t>
  </si>
  <si>
    <t>testes de funcionamento</t>
  </si>
  <si>
    <t>fazer testes para conferir se a alexa está funcionando</t>
  </si>
  <si>
    <t>Alexa Responder aos comandos corretamente</t>
  </si>
  <si>
    <t>Trazer segurança e agilidade para instalação</t>
  </si>
  <si>
    <t>usando a voz iremos testar se a Alexa responde</t>
  </si>
  <si>
    <t>integração com outros dispositivos</t>
  </si>
  <si>
    <t>fazer a configuração da alexa com outros dispositivos</t>
  </si>
  <si>
    <t>Alexa controlar outros dispositivos</t>
  </si>
  <si>
    <t>Fazer a integração de outro dispositivos com o objetivo de trazer mais conforto e praticidade</t>
  </si>
  <si>
    <t>Usando o aplicativo da alexa iremos sincronizar a alexa com outros equipamentos</t>
  </si>
  <si>
    <t>Instalação
 do interfone</t>
  </si>
  <si>
    <t>instalar dispositivo</t>
  </si>
  <si>
    <t>fazer a instalação do interfone na casa</t>
  </si>
  <si>
    <t>interfone estar fixado</t>
  </si>
  <si>
    <t>Cosme Sousa
Damião Sousa
Pétrick Gomes</t>
  </si>
  <si>
    <t>NIlton Guerra
Leandro Costa ferreira
Pétrick Gomes</t>
  </si>
  <si>
    <t>fazer a instalação do interfone na local</t>
  </si>
  <si>
    <t>Trazer mais conforto e segurança para o local</t>
  </si>
  <si>
    <t>Cosme Sousa
Damião Sousa 
Pétrick</t>
  </si>
  <si>
    <t>Instalaçao  e fixação das bases do Interfone.</t>
  </si>
  <si>
    <t>testar funcionamento</t>
  </si>
  <si>
    <t>fazer testes para conferir o funcionamento do interfone</t>
  </si>
  <si>
    <t>interfone está funcionando</t>
  </si>
  <si>
    <t>NIlton Guerra
Leandro Costa ferreira</t>
  </si>
  <si>
    <t>Validar o funcionamento do interfone</t>
  </si>
  <si>
    <t xml:space="preserve">Cosme Sousa
Damião Sousa </t>
  </si>
  <si>
    <t>Energização e teste de funcionámento dos  componentes.</t>
  </si>
  <si>
    <t>integrar com sistema de segurança</t>
  </si>
  <si>
    <t>fazer a integração do interfone com a trava automatica</t>
  </si>
  <si>
    <t>interfone funcionar junto ao sistema de segurança</t>
  </si>
  <si>
    <t>Trazer mais segurança</t>
  </si>
  <si>
    <t>Fazer Passagem dos cabos einterligação do interfone e fechadura.</t>
  </si>
  <si>
    <t>Instalação
 trava automatica</t>
  </si>
  <si>
    <t>fazer a instalação das travas automaticas</t>
  </si>
  <si>
    <t xml:space="preserve"> instalação das travas  automaticas</t>
  </si>
  <si>
    <t>Leandro Costa Ferreira
João Miranda
Nilton Guerra</t>
  </si>
  <si>
    <t>trazer mais segurança.</t>
  </si>
  <si>
    <t xml:space="preserve">seguindo o diagrama </t>
  </si>
  <si>
    <t>fazer testes para conferir o funcionamento dos dispositivos</t>
  </si>
  <si>
    <t xml:space="preserve">Fazer o funcionamento da trava </t>
  </si>
  <si>
    <t>validar o funcionamento da trava automatica.</t>
  </si>
  <si>
    <t>Energização e teste dos componentes.</t>
  </si>
  <si>
    <t>fazer a integração do interfone com alguns sistemas de segurançã</t>
  </si>
  <si>
    <t>fazer a integração da trava automativa com o internofe</t>
  </si>
  <si>
    <t>Trazer mais segurança.</t>
  </si>
  <si>
    <t>Interligar interfone e fechadura com  Central.</t>
  </si>
  <si>
    <t>CONFIGURAÇÃO</t>
  </si>
  <si>
    <t>Sistema de
 Monitoramento</t>
  </si>
  <si>
    <t>Levantamento dos equipamentos e manuais necessários</t>
  </si>
  <si>
    <t>Ferramentas e equipamentos necessario para a instalação do projeto.</t>
  </si>
  <si>
    <t>Acrescentar base ao projeto.</t>
  </si>
  <si>
    <t>Nilton Guerra
Cosme Sousa</t>
  </si>
  <si>
    <t xml:space="preserve">através de um dialogo com os professores iremos buscar informações  em relação aos equipamentos  procurar os </t>
  </si>
  <si>
    <t>Configurações remotas e manuais</t>
  </si>
  <si>
    <t>Fazer o acionamentvia wifi o e manualmente.</t>
  </si>
  <si>
    <t>Garantir material ao projeto.</t>
  </si>
  <si>
    <t>baixar e configurar os aplicativos necessários, através do celular e fazer a configuração do DVR para o funcionamento da imagem das cameras</t>
  </si>
  <si>
    <t>Integração com centrais e redes sem fio</t>
  </si>
  <si>
    <t xml:space="preserve"> Fazer o acionamentvia WIFI.</t>
  </si>
  <si>
    <t>Ser um meio de realização do trabalho.</t>
  </si>
  <si>
    <t>Fazer a separação e instalação dos cabos para a conexão do DVR com as cameras</t>
  </si>
  <si>
    <t xml:space="preserve">Integração com o cliente </t>
  </si>
  <si>
    <t xml:space="preserve">Verificar os pontos mas apropriados para instalação do equipamento de monitoramento. </t>
  </si>
  <si>
    <t>Sistema base do projeto.</t>
  </si>
  <si>
    <t>Falar com o cliente durante as etapas das intalações para ver se o mesmo esta de acordo</t>
  </si>
  <si>
    <t>Programação e configuração</t>
  </si>
  <si>
    <t>Central CFTV</t>
  </si>
  <si>
    <t>instalação do sistema de segurança e comunicação de acesso remoto por aplicativo e central de monitoramento.</t>
  </si>
  <si>
    <t>Fazer a comunicação das câmeras com a central</t>
  </si>
  <si>
    <t>Damião sousa</t>
  </si>
  <si>
    <t>Segurança</t>
  </si>
  <si>
    <t>Instalação do DVR e monitor, fazendo a integração com as cameras</t>
  </si>
  <si>
    <t>Sistemas de iluminação automatizada</t>
  </si>
  <si>
    <t>Fazer a passagem da fiação pela eletrocalha e instalação do pontos de iluminação e fita LED</t>
  </si>
  <si>
    <t xml:space="preserve">O acionamento da iluminaçao manualmente </t>
  </si>
  <si>
    <t>Sistemas de iluminação  automatizada</t>
  </si>
  <si>
    <t>Conforto e praticidade</t>
  </si>
  <si>
    <t>Fazer a instalação e programação da alexa para fazer a integração com as lampadas e fazer seu funcionamento por comando de voz</t>
  </si>
  <si>
    <t>Central de alarme de incêndio</t>
  </si>
  <si>
    <t>Realizar a comunicação da central com os sensores de fumaça e termovelocimetricos.</t>
  </si>
  <si>
    <t>Comunicação da central com os sensores.</t>
  </si>
  <si>
    <t>Segurança patrimonial</t>
  </si>
  <si>
    <t xml:space="preserve">Fazer a conexão da central com os sensores de fumaça e do alarme de incendio  </t>
  </si>
  <si>
    <t>Sistema de monitoramento de energia</t>
  </si>
  <si>
    <t>Realizar o monitoramento de consumo de energia em tempo real.</t>
  </si>
  <si>
    <t xml:space="preserve">Monitoramento do consumo de energia </t>
  </si>
  <si>
    <t xml:space="preserve">Praticidade e Economia </t>
  </si>
  <si>
    <t>Realizar a montagem do painel e a instalação do sensor para o monitoramento de energia</t>
  </si>
  <si>
    <t>Módulo CLP, IHM e sistema supervisório</t>
  </si>
  <si>
    <t>Configurar e fazer a comunicação com os dispositivos</t>
  </si>
  <si>
    <t xml:space="preserve">Confiigurar os dispositivos </t>
  </si>
  <si>
    <t>Fazer a interações aos dispositivos com o objetivo de trazer mais conforto e praticidade</t>
  </si>
  <si>
    <t>Fazer a instalação do CLP, integrando copm os circuitos da casa, para transmitir um sinal e realizar uma ação</t>
  </si>
  <si>
    <t>Roteador WI-fi</t>
  </si>
  <si>
    <t xml:space="preserve"> Comunicação sem fio</t>
  </si>
  <si>
    <t>Fazer a comunicação via WI-FI</t>
  </si>
  <si>
    <t>Damião Sousa
Pétrick Gomes</t>
  </si>
  <si>
    <t>Instalação dos cabos e conexão com  wi-fi para a integração e automatização dos comodos da casa</t>
  </si>
  <si>
    <t>Integração dos sistemas</t>
  </si>
  <si>
    <t>Realizar a comunicação entre os dispositivos.</t>
  </si>
  <si>
    <t>comunicação entre os dispositivos</t>
  </si>
  <si>
    <t>Fazer a integração dos comodos com o painel geral e com o painel de monitoramento de energia</t>
  </si>
  <si>
    <t>FINALIZAÇÃO</t>
  </si>
  <si>
    <t>CFTV</t>
  </si>
  <si>
    <t>Alimentar o sistema de CFTV, certificar de que todas as câmeras estão se comunicando com a central, verificação das imagens e comunicação de acesso remoto.</t>
  </si>
  <si>
    <t>Analisar se as atividades realizadas satisfaz as expectativas da equipe.</t>
  </si>
  <si>
    <t xml:space="preserve">Monitoramento por câmeras </t>
  </si>
  <si>
    <t>Laboratorio A13/A13</t>
  </si>
  <si>
    <t>Central de Incêndio</t>
  </si>
  <si>
    <t>Certificar o funcionamento e comunicação de todos os sensores com a central. </t>
  </si>
  <si>
    <t>Analizar se as atividades realizadas satisfaz as expectativas da equipe.</t>
  </si>
  <si>
    <t>Ele tem um botão, como se fosse um interruptor, 
que ao ser acionado envia para a central a localização da ocorrência. para rapiada ação.</t>
  </si>
  <si>
    <t>Laboratorio A13/A17</t>
  </si>
  <si>
    <t>Alarme Patrimonial</t>
  </si>
  <si>
    <t>Conferir lugares que foram fixados de acordo com a Planta baixa, se estamos atendendo as necessidades do cliente, conferir ligações e fazer teste.</t>
  </si>
  <si>
    <t xml:space="preserve"> objetivo de proteger pessoas e bens
 patrimoniais contra condições e atos
 indesejáveis.</t>
  </si>
  <si>
    <t>Iluminação Automatizada</t>
  </si>
  <si>
    <t>Realizar os testes de alimentação e funcionamento do sistema, processo de integração com a central e comunicação de acesso remoto.</t>
  </si>
  <si>
    <t>Fazer a iluminaçao do anbiente, para garantir segurança.</t>
  </si>
  <si>
    <t>Laboratorio A13/A18</t>
  </si>
  <si>
    <t>Sistema de Monitoramento</t>
  </si>
  <si>
    <t xml:space="preserve">Leandro Costa Ferreira
João Miranda 
</t>
  </si>
  <si>
    <t xml:space="preserve">Monitora em tempo real o consumo de énegia </t>
  </si>
  <si>
    <t>Fazer  fixação das cameras de acordo com a Planta baixa, atendendo as necessidades do cliente, conferir ligações e fazer teste.</t>
  </si>
  <si>
    <t>Módulo CLP, IHM e Sistema Supervisório</t>
  </si>
  <si>
    <t>Verificar modelo do módulo e IHM do Sistema Supervisório, qual entrada/saída comunica com o sistema que utilizaremos e definir configurações e comandos que serão utilizadas de acordo com o pedido do cliente.</t>
  </si>
  <si>
    <t xml:space="preserve">   Sistema IHM, CLP e Sistema Surpervisorio. </t>
  </si>
  <si>
    <t xml:space="preserve">Fazer interface homem maquina </t>
  </si>
  <si>
    <t xml:space="preserve">Fazer comunicação com o sistema IHM com Sistema Supervisório, definindo  entrada/saída. </t>
  </si>
  <si>
    <t>Roteador Wifi ( Comunicação sem fio)</t>
  </si>
  <si>
    <t>Realizar os testes finais nos periféricos, interface, comunicação e aplicação no sistema.</t>
  </si>
  <si>
    <t>Configurar a interação do sistema com as centrais e com sistema de redes sem fio.</t>
  </si>
  <si>
    <t>responsável por captar e emitir os sinais</t>
  </si>
  <si>
    <t xml:space="preserve"> Testes finais nos periféricos, interface, comunicação e aplicação no sistema.</t>
  </si>
  <si>
    <t>Conclusão</t>
  </si>
  <si>
    <t>Reunião</t>
  </si>
  <si>
    <t>Reunir-se com o grupo para debatermos possiveis alterações no projeto.</t>
  </si>
  <si>
    <t>Garantir que tudo esteja nos conformes</t>
  </si>
  <si>
    <t xml:space="preserve">Reunião </t>
  </si>
  <si>
    <t>Sera discutido  a validação das etapas afinalizada para Garantir que tudo esteja nos conformes.</t>
  </si>
  <si>
    <t>Apresentação de Resultados</t>
  </si>
  <si>
    <t>Demonstrar previamente o projeto.</t>
  </si>
  <si>
    <t>Demonstrar previamente o projeto e resultados.</t>
  </si>
  <si>
    <t>Demonstrar previamente o  funcionamento do projeto.</t>
  </si>
  <si>
    <t>Integração do cliente com o sistema</t>
  </si>
  <si>
    <t>Relatar para o cliente os resultados do projeto.</t>
  </si>
  <si>
    <t>Aceitação do cliente de acordo com que foi pedido.</t>
  </si>
  <si>
    <t>Aceitação do cliente ser esta de acordo com que foi pedido.</t>
  </si>
  <si>
    <t>Feedbac+C128:K128k</t>
  </si>
  <si>
    <t>Fazer possiveis alterações de acordo com a vontade do cliente.</t>
  </si>
  <si>
    <t xml:space="preserve">satisfação do cliente </t>
  </si>
  <si>
    <t>Feedback</t>
  </si>
  <si>
    <t xml:space="preserve">relatar possiveis auterações no projeto </t>
  </si>
  <si>
    <t>Será dado retorno do
andamento do projeto.</t>
  </si>
  <si>
    <t>Apresentação 
do TCC</t>
  </si>
  <si>
    <t>Entrega 
do Projeto</t>
  </si>
  <si>
    <t>Revisão Geral do Projeto</t>
  </si>
  <si>
    <t>Após o termino de todas as etapas e tarefas, realizar uma revisão completa do projeto, analisando os critérios críticos e desejaveis buscando o máximo de qualidade</t>
  </si>
  <si>
    <t xml:space="preserve">Para garantir que tudo esteja conforme o planejado </t>
  </si>
  <si>
    <t>consultando o que foi planejado e fazendo testes de funcionamento</t>
  </si>
  <si>
    <t>Validação com o Orientador</t>
  </si>
  <si>
    <t>Apresentar os resultados finais para os professores orientadores</t>
  </si>
  <si>
    <t xml:space="preserve">Aprovação dos Orientadores </t>
  </si>
  <si>
    <t>para ter uma opinião de fora e para que possamos arrumar o necessario</t>
  </si>
  <si>
    <t>conversando com o professor e mostrando nosso trabalho</t>
  </si>
  <si>
    <t xml:space="preserve">Recapitular e Alterar </t>
  </si>
  <si>
    <t>Após a válidação e revisão, se necessário, efetuar as modificações necessárias</t>
  </si>
  <si>
    <t>Gerar um melhoramento</t>
  </si>
  <si>
    <t>para ter o melhor projeto possivel</t>
  </si>
  <si>
    <t>Laboratorio A13/A19</t>
  </si>
  <si>
    <t xml:space="preserve">aplicando as dicas que o professor nos passou </t>
  </si>
  <si>
    <t>Realizar a Entrega da Documentação e do projeto</t>
  </si>
  <si>
    <t>Após todas as revisões, validações e modificações, efetuar a entrega do projeto.</t>
  </si>
  <si>
    <t>Executar entrega .</t>
  </si>
  <si>
    <t>para finalizar o projeto</t>
  </si>
  <si>
    <t>Laboratorio A13/A20</t>
  </si>
  <si>
    <t>organizando todos os arquivos e enviando pelo teams</t>
  </si>
  <si>
    <t>Seminario</t>
  </si>
  <si>
    <t>Elaboração dos Slides</t>
  </si>
  <si>
    <t>Elaborar slides para auxiliar os integrantes da equipe, contendo imagens, videos, gráficos e tabelas.</t>
  </si>
  <si>
    <t>Fácil entendimento e que sirva de base para apresentação final.</t>
  </si>
  <si>
    <t>para apresentar nosso projeto á banca da melhor forma</t>
  </si>
  <si>
    <t>fazendo um resumo do nosso projeto atraves de imagens e videos etc.</t>
  </si>
  <si>
    <t>Ensaios</t>
  </si>
  <si>
    <t>Ensaiar a apresentação para preparar todos os integrantes do grupo para a apresentação final</t>
  </si>
  <si>
    <t>Demonstrar segurança para apresentação</t>
  </si>
  <si>
    <t>Auditorio</t>
  </si>
  <si>
    <t>em cima dos slides ensaiar tudo oque iremos apresentar no dia</t>
  </si>
  <si>
    <t xml:space="preserve">Revisão </t>
  </si>
  <si>
    <t xml:space="preserve">Revisar tudo que foi feito, analisar e corrigir erros ocorridos no ensaio, acertar os ultimos detalhes </t>
  </si>
  <si>
    <t>Mostrar que a equipe esta preparada para apresentação.</t>
  </si>
  <si>
    <t xml:space="preserve">fazer a revisão e repassar tudo oque iremos apresentar </t>
  </si>
  <si>
    <t>Apresentação Final</t>
  </si>
  <si>
    <t>Apresentação final e conclusão do TCC.</t>
  </si>
  <si>
    <t>Apresentar para o Orientador e empresa parceira</t>
  </si>
  <si>
    <t>fazer a apresntação para os orientadores e banca</t>
  </si>
  <si>
    <t xml:space="preserve">Apresentar o projeto </t>
  </si>
  <si>
    <t>AUTOMOÇÃO PREDIAL</t>
  </si>
  <si>
    <t>LIDER</t>
  </si>
  <si>
    <t>LEANDRO COSTA FERREIRA</t>
  </si>
  <si>
    <t>x</t>
  </si>
  <si>
    <t>EQUIPE</t>
  </si>
  <si>
    <t>AGOSTO</t>
  </si>
  <si>
    <t>SETEMBRO</t>
  </si>
  <si>
    <t>OUTUBRO</t>
  </si>
  <si>
    <t>NOVEMBRO</t>
  </si>
  <si>
    <t>DEZEMBRO</t>
  </si>
  <si>
    <t>João Miranda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</si>
  <si>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</si>
  <si>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</si>
  <si>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</si>
  <si>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</si>
  <si>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</si>
  <si>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</si>
  <si>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</si>
  <si>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</si>
  <si>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</si>
  <si>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</si>
  <si>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</si>
  <si>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</si>
  <si>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</si>
  <si>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</si>
  <si>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</si>
  <si>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</si>
  <si>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</si>
  <si>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Quando?</t>
  </si>
  <si>
    <t>Quanto?</t>
  </si>
  <si>
    <t>RISCO</t>
  </si>
  <si>
    <t>PESO</t>
  </si>
  <si>
    <t>PROGRESO</t>
  </si>
  <si>
    <t>PESO EX</t>
  </si>
  <si>
    <t>inicio</t>
  </si>
  <si>
    <t>Otimista</t>
  </si>
  <si>
    <t>MP</t>
  </si>
  <si>
    <t>Pessimista</t>
  </si>
  <si>
    <t>Pert</t>
  </si>
  <si>
    <t>Termo de Abertura do Projeto (TAP</t>
  </si>
  <si>
    <t>equipe</t>
  </si>
  <si>
    <t>Ter uma lógistica de tarefas fácil de se gerir.</t>
  </si>
  <si>
    <t xml:space="preserve"> Atribuição de reponsabilidades de integrantes especificos em determinadas temas.</t>
  </si>
  <si>
    <t>Agilizar a realização do projeto.</t>
  </si>
  <si>
    <t>Gerar um aprimoramento no que já foi realizado.</t>
  </si>
  <si>
    <t>Revisar o trabalho.</t>
  </si>
  <si>
    <t>Corrigir possiveis erros gramáticais.</t>
  </si>
  <si>
    <t>Dividir o projeto em partes.</t>
  </si>
  <si>
    <t>Descrever as tarefas a serem executadas pelos integrantes baseado na análise SWOT e RACI.</t>
  </si>
  <si>
    <t>Facilitar na gestão do projeto e trazer mais facilidade no desenvolvimento do projeto.</t>
  </si>
  <si>
    <t>Revisar o que se foi realizado.</t>
  </si>
  <si>
    <t xml:space="preserve">verificar se o que foi feito está como planejado e sugerir possiveis melhorias. </t>
  </si>
  <si>
    <t>Verificar se o que foi feito está como planejado.</t>
  </si>
  <si>
    <t>Criar um sentimento de responsabilidade para cada integrante do grupo com a tarefa atribuida a ele.</t>
  </si>
  <si>
    <t>Através de uma conversa entre os integrantes nos iremos revisar as divições das tarefas</t>
  </si>
  <si>
    <t>Definir o tempo para realizar cada etapa.</t>
  </si>
  <si>
    <t>Permitir que o projeto seja entregue a tempo.</t>
  </si>
  <si>
    <t>Definir datas para a entrega de cada etapa do projeto.</t>
  </si>
  <si>
    <t>Facilitar na gestão do projeto.</t>
  </si>
  <si>
    <t>Revisar o que ja foi realizado.</t>
  </si>
  <si>
    <t>Sujerir posiveis melhorias e evitar possiveis erros.</t>
  </si>
  <si>
    <t>validar o que ja foi realizado.</t>
  </si>
  <si>
    <t xml:space="preserve">Avaliar os possíveis riscos do projeto. </t>
  </si>
  <si>
    <t>Evitar/ amenizar os riscos ao projeto.</t>
  </si>
  <si>
    <t>Cosme Sousa
Damião Sousa</t>
  </si>
  <si>
    <t>Gerar possiveis consequências.</t>
  </si>
  <si>
    <t>Definir o quão grave é o risco e as medidas de supressão dele.</t>
  </si>
  <si>
    <t>Definir o que será feito, caso algum risco venha  acontecer.</t>
  </si>
  <si>
    <t>Comparar o tempo de trabalho com a meta.</t>
  </si>
  <si>
    <t>Fazer um gráfico de acompanhamento do trabalho.</t>
  </si>
  <si>
    <t>Avaliar o desenvolvimento do projeto e analisar se está caminhando de acordo com o planejado, para poder gerar uma possivel data de entrega.</t>
  </si>
  <si>
    <t>Permitir que todos os quadros de energia possam ser instalados dentro do quadro de distribuição</t>
  </si>
  <si>
    <t>Leandro Costa
João Miranda</t>
  </si>
  <si>
    <t>Proteção de todos os circuitos da residência, seguindo a norma NR10.</t>
  </si>
  <si>
    <t>Usar dispositivos de proteção como: DR  e DPS para a proteção dos circuitos.</t>
  </si>
  <si>
    <t>Permitir a alimentação dos componentes.</t>
  </si>
  <si>
    <t>Pétrick Gomes
 Cosme Sousa
Damião Sousa
Nilton Guerra</t>
  </si>
  <si>
    <t>Fixar as câmeras e fazer a alimentação e a transmição de dados com facilidade.</t>
  </si>
  <si>
    <t>usando o conector P4 macho e fêmea e o cabo coaxial fazer o interligamento da câmera com o DVR.</t>
  </si>
  <si>
    <t>Cosme Sousa
Damião Sousa
Pétrick Gomes
Nilton Guerra</t>
  </si>
  <si>
    <t>Ligar todas as conexões dos sensores corretamente.</t>
  </si>
  <si>
    <t>Instalar os sensores de fumaça respeitando as suas coneções com a central de incêndio.</t>
  </si>
  <si>
    <t>Permitir que o sensor funcione corretamente.</t>
  </si>
  <si>
    <t>Fazer a comunicação entre central de alarme de incêndio e sensores de fumaça.</t>
  </si>
  <si>
    <t>Posicionar a centrtal em um local especifico para gerenciar o controle de incêndio.</t>
  </si>
  <si>
    <t>Ter um controle mais rápido e eficiente do sistema de incêndio</t>
  </si>
  <si>
    <t>Que os cabos passados sejam alimentados e devidamente isolados sem emendas nos eletrodutos.</t>
  </si>
  <si>
    <t>Cosme Sousa
Damião Sousa
Pétrick Gomes
Leandro Costa</t>
  </si>
  <si>
    <t xml:space="preserve">Fazer a instalação dos interruptores e lâmpadas </t>
  </si>
  <si>
    <t>Instalação dos interruptores e receptáculos, e logo em seguida colocar as lâmpadas nos respectivos cômodos da  residência.</t>
  </si>
  <si>
    <t>Iluminar o ambiente.</t>
  </si>
  <si>
    <t>com a passagem dos cabos realizaremos a instalação dos dispositivos de iluminação</t>
  </si>
  <si>
    <t>fazer a integração dos sistema de iluminação com os aplicativos (bluelux,sonoff).</t>
  </si>
  <si>
    <t xml:space="preserve">Instalação dos interruptores </t>
  </si>
  <si>
    <t>instalar interruptores e tomadas</t>
  </si>
  <si>
    <t>Verificar o funcionamento do sistema de iluminação controlado pelos dispositivos moveis.</t>
  </si>
  <si>
    <t>Verificação do sistema de iluminação.</t>
  </si>
  <si>
    <t>Verificar o correto funcionamento.</t>
  </si>
  <si>
    <t>Instalação do sistema de monitoramento de consumo de energia</t>
  </si>
  <si>
    <t>Fazer a instalação do monitor de energia no painel.</t>
  </si>
  <si>
    <t>Verificar ligação do monitor de energia.</t>
  </si>
  <si>
    <t>Leandro Costa 
João Miranda</t>
  </si>
  <si>
    <t>verificar funcionamento do monitor de energia.</t>
  </si>
  <si>
    <t>Ultilizar TC`s para a leitura de corrente atráves do medidor e verificar as suas respectivas conexões.</t>
  </si>
  <si>
    <t>Monitorar o circuito, atrávez de parâmetros de leitura já definido pelo medidor.</t>
  </si>
  <si>
    <t>Verificar se o monitor de energia está funcionando corretamente.</t>
  </si>
  <si>
    <t>Usando um multimetro, o monitor de energia e uma carga verificar se os resultados de leitura estão corretos.</t>
  </si>
  <si>
    <t>fazer a programação e configurações da alexa atraves do aplicativo.</t>
  </si>
  <si>
    <t>Permitir o acionamento da iluminação através do celular.</t>
  </si>
  <si>
    <t xml:space="preserve"> Pétrick Gomes             João Miranda
Nilton Guerra</t>
  </si>
  <si>
    <t>Alexa Responder aos comandos corretamente.</t>
  </si>
  <si>
    <t>Realizar testes para conferir o funcionamento da alexa.</t>
  </si>
  <si>
    <t>Trazer segurança e agilidade para instalação. Além de um conforto maior.</t>
  </si>
  <si>
    <t>Alexa controlar outros dispositivos.</t>
  </si>
  <si>
    <t>Fazer a configuração da alexa com outros dispositivos.</t>
  </si>
  <si>
    <t>Fazer a integração de outro dispositivos com o objetivo de trazer mais conforto e praticidade.</t>
  </si>
  <si>
    <t>Interfone estar fixado.</t>
  </si>
  <si>
    <t>fazer a instalação do interfone na local.</t>
  </si>
  <si>
    <t>Trazer mais conforto e segurança para o local.</t>
  </si>
  <si>
    <t>Verificar o funcionando do interfone</t>
  </si>
  <si>
    <t>Fazer testes para conferir o funcionamento do interfone.</t>
  </si>
  <si>
    <t>Validar o funcionamento do interfone.</t>
  </si>
  <si>
    <t>Interfone funcionar junto ao sistema de segurança</t>
  </si>
  <si>
    <t>Fazer a integração do interfone com a trava automatica.</t>
  </si>
  <si>
    <t xml:space="preserve"> Instalação das travas  automaticas.</t>
  </si>
  <si>
    <t>Fazer a instalação das travas automaticas.</t>
  </si>
  <si>
    <t xml:space="preserve">Verificar o  funcionamento da trava. </t>
  </si>
  <si>
    <t>Fazer testes para conferir o funcionamento dos dispositivos.</t>
  </si>
  <si>
    <t>Integrar com sistema de segurança</t>
  </si>
  <si>
    <t>Fazer a integração da trava automativa com o internofe.</t>
  </si>
  <si>
    <t>Fazer a comunicação das câmeras com a central.</t>
  </si>
  <si>
    <t>Segurança.</t>
  </si>
  <si>
    <t>Pétrick Gomes         Cosme Sousa
Damião Sousa
Nilton Guerra</t>
  </si>
  <si>
    <t>O acionamento da iluminaçao remotamente.</t>
  </si>
  <si>
    <t>Sistemas de iluminação  automatizada.</t>
  </si>
  <si>
    <t>Conforto e praticidade.</t>
  </si>
  <si>
    <t>Central de alarme de incêndio.</t>
  </si>
  <si>
    <t>Segurança patrimonial.</t>
  </si>
  <si>
    <t xml:space="preserve">Monitoramento do consumo de energia. </t>
  </si>
  <si>
    <t>Sistema de monitoramento de energia.</t>
  </si>
  <si>
    <t>Praticidade e Acompanhamento em tempo real.</t>
  </si>
  <si>
    <t>Fazer a comunicação via WI-FI.</t>
  </si>
  <si>
    <t>Roteador WI-fi.</t>
  </si>
  <si>
    <t xml:space="preserve"> Comunicação sem fio.</t>
  </si>
  <si>
    <t>Comunicação entre os dispositivos.</t>
  </si>
  <si>
    <t>Integração dos sistemas.</t>
  </si>
  <si>
    <t>CFTV.</t>
  </si>
  <si>
    <t xml:space="preserve">Monitoramento das câmeras </t>
  </si>
  <si>
    <t>Fazer a iluminaçao do ambiente, para garantir segurança.</t>
  </si>
  <si>
    <t>Monitora em tempo real o consumo de energia.</t>
  </si>
  <si>
    <t>Garantir que tudo esteja como planejado.</t>
  </si>
  <si>
    <t>Apresentação de Resultados.</t>
  </si>
  <si>
    <t>Integração do cliente com o sistema.</t>
  </si>
  <si>
    <t>Satisfação do cliente.</t>
  </si>
  <si>
    <t xml:space="preserve">Relatar possiveis alterações no projeto. </t>
  </si>
  <si>
    <t>Após o termino de todas as etapas e tarefas, realizar uma revisão completa do projeto, analisando os critérios críticos e desejaveis buscando o máximo de qualidade.</t>
  </si>
  <si>
    <t>Para garantir que tudo esteja conforme o planejado.</t>
  </si>
  <si>
    <t>Aprovação dos Orientadores.</t>
  </si>
  <si>
    <t>Apresentar os resultados finais para os professores orientadores.</t>
  </si>
  <si>
    <t>Para ter uma opinião forte e para que possamos arrumar o necessario.</t>
  </si>
  <si>
    <t>Gerar um melhoramento naquilo que já foi executado.</t>
  </si>
  <si>
    <t>Após a válidação e revisão, se necessário, efetuar as modificações necessárias.</t>
  </si>
  <si>
    <t>Para se ter um melhor projeto dentro das expectavivas.</t>
  </si>
  <si>
    <t>Executar entrega.</t>
  </si>
  <si>
    <t>Para finalizar o projeto.</t>
  </si>
  <si>
    <t xml:space="preserve">Leandro Costa </t>
  </si>
  <si>
    <t>Para apresentar nosso projeto a banca da melhor forma.</t>
  </si>
  <si>
    <t>Demonstrar segurança para apresentação.</t>
  </si>
  <si>
    <t>Ensaiar a apresentação para preparar todos os integrantes do grupo para a apresentação final.</t>
  </si>
  <si>
    <t>Mostrar que a equipe está preparada para apresentação.</t>
  </si>
  <si>
    <t>Revisar tudo que foi feito, analisar e corrigir erros ocorridos no ensaio, acertar os ultimos detalhes.</t>
  </si>
  <si>
    <t>Apresentar para o Orientador e empresa parceira.</t>
  </si>
  <si>
    <t>fazer a apresntação para os orientadores e banca.</t>
  </si>
  <si>
    <t>TOTAL</t>
  </si>
  <si>
    <t>RESTANTE</t>
  </si>
  <si>
    <t>ESTIMADO</t>
  </si>
  <si>
    <t>cargo</t>
  </si>
  <si>
    <t>salário</t>
  </si>
  <si>
    <t>Descontos</t>
  </si>
  <si>
    <t>Sálario final</t>
  </si>
  <si>
    <t>Salário por hora do funcionário</t>
  </si>
  <si>
    <t>INSS</t>
  </si>
  <si>
    <t>Periculosidade</t>
  </si>
  <si>
    <t>IRRF</t>
  </si>
  <si>
    <t>FGTS</t>
  </si>
  <si>
    <t>Convênio</t>
  </si>
  <si>
    <t>vale transporte</t>
  </si>
  <si>
    <t>contribuição sindical</t>
  </si>
  <si>
    <t>(20 horas semanais/100 horas mensais)</t>
  </si>
  <si>
    <t>Gerente</t>
  </si>
  <si>
    <t>NA</t>
  </si>
  <si>
    <t>27,5% e parcela de R$ 869,36 a deduzir do imposto</t>
  </si>
  <si>
    <t>Supervisor</t>
  </si>
  <si>
    <t>22,5% e parcela de R$ 636,13 a deduzir do imposto</t>
  </si>
  <si>
    <t>Técnico</t>
  </si>
  <si>
    <t>Isento</t>
  </si>
  <si>
    <t xml:space="preserve">Auxiliar </t>
  </si>
  <si>
    <t>PROJETO AUTOMOÇÃO PREDIAL</t>
  </si>
  <si>
    <t>Lista de Conteudos e Apresentações</t>
  </si>
  <si>
    <t>A Fazer</t>
  </si>
  <si>
    <t>Tema</t>
  </si>
  <si>
    <t>Data</t>
  </si>
  <si>
    <t>Estado</t>
  </si>
  <si>
    <t>Notas</t>
  </si>
  <si>
    <t>Feito</t>
  </si>
  <si>
    <t>Pendente</t>
  </si>
  <si>
    <t>Revisado</t>
  </si>
  <si>
    <t>Automação Predial</t>
  </si>
  <si>
    <t>Legenda:</t>
  </si>
  <si>
    <t>Baixo risco</t>
  </si>
  <si>
    <t>Médio risco</t>
  </si>
  <si>
    <t>Alto risco</t>
  </si>
  <si>
    <t>Leandro Costa Fereira</t>
  </si>
  <si>
    <t>Data de início do projeto:</t>
  </si>
  <si>
    <t>PESO:</t>
  </si>
  <si>
    <t>Incremento de rolagem:</t>
  </si>
  <si>
    <t>A barra de rolagem está nas células I6 a BL6. O incremento para percorrer os dados está definido como duas páginas por vez e pode ser ajustado nas configurações da barra de controle. 
Para ir para a frente ou para trás na linha do tempo, insira um valor de 0 ou mais na célula F4.
O valor 0 leva você ao início do gráfico.</t>
  </si>
  <si>
    <t>Etapas</t>
  </si>
  <si>
    <t>Descrição do marco</t>
  </si>
  <si>
    <t>Risco</t>
  </si>
  <si>
    <t>Atribuído a</t>
  </si>
  <si>
    <t>Progresso</t>
  </si>
  <si>
    <t>Início</t>
  </si>
  <si>
    <t>Nº de dias</t>
  </si>
  <si>
    <t xml:space="preserve">Não exclua esta planilha. Esta linha ficará oculta para preservar uma fórmula usada para realçar o dia atual no cronograma do projeto. </t>
  </si>
  <si>
    <t xml:space="preserve">Nilton Guerra
Cosme Alvez
Damião Alves
Pétrick Gomes </t>
  </si>
  <si>
    <t>instalar os sensores de fumaça respeitando as suas coneções com a central de incêndio.</t>
  </si>
  <si>
    <t>CONTROLE DE VERSÕES</t>
  </si>
  <si>
    <t>Horas trabalhadas</t>
  </si>
  <si>
    <t>Versão</t>
  </si>
  <si>
    <t>Autor</t>
  </si>
  <si>
    <t>Tempo de Trabalho</t>
  </si>
  <si>
    <t>Notas de Revisão</t>
  </si>
  <si>
    <t>Inicio (Horas)</t>
  </si>
  <si>
    <t>Termino (Horas)</t>
  </si>
  <si>
    <t>1.0</t>
  </si>
  <si>
    <t>Leandro</t>
  </si>
  <si>
    <t>Inicio da Documentação</t>
  </si>
  <si>
    <t>1.1</t>
  </si>
  <si>
    <t>Aplicando etapas já feitas; Inicio CheckList;                   Inicio Dicionário da EAP;</t>
  </si>
  <si>
    <t>1.2</t>
  </si>
  <si>
    <t>Formatação da Checklist;  Colocando etapas na Checklist;                      Aplicação de Graficos; Conteudo EAP;</t>
  </si>
  <si>
    <t>1.3</t>
  </si>
  <si>
    <t>Dicionario da EAP; CheckList;                           Inicio Cronograma.</t>
  </si>
  <si>
    <t>1.4</t>
  </si>
  <si>
    <t>Dicionario da EAP</t>
  </si>
  <si>
    <t>1.5</t>
  </si>
  <si>
    <t>Termino do Pacote de Trabalho referente ao Dicionario.</t>
  </si>
  <si>
    <t>1.6</t>
  </si>
  <si>
    <t>Inicio  do Responsaveis no Dicionario;                            Inicio dos Criterios de Aceitação no Dicionario;                  Termino das descrições do Dicionario;                         Inicio do Burndown Chart.</t>
  </si>
  <si>
    <t>1.7</t>
  </si>
  <si>
    <t>Termino das descrições e criterios do dicionario.</t>
  </si>
  <si>
    <t>1.8</t>
  </si>
  <si>
    <t>Grafico de Gantt.</t>
  </si>
  <si>
    <t>Termino do Grafico de Gantt</t>
  </si>
  <si>
    <t>2.0</t>
  </si>
  <si>
    <t>Realocação da Etapa Motagem do Painel, Aprimoramento do dicionario</t>
  </si>
  <si>
    <t>2.1</t>
  </si>
  <si>
    <t>Acresentado Inflaestrutura na EAP (Foi retirado)</t>
  </si>
  <si>
    <t>2.2</t>
  </si>
  <si>
    <t>Acresentado Custos.</t>
  </si>
  <si>
    <t>2.3</t>
  </si>
  <si>
    <t>Atualização dos Custos.</t>
  </si>
  <si>
    <t>2.4</t>
  </si>
  <si>
    <t>Testes NR-12</t>
  </si>
  <si>
    <t>LOGAN</t>
  </si>
  <si>
    <t>ANÁLISE PRELIMINAR DE RISCOS - PAINÉIS</t>
  </si>
  <si>
    <t>DATA:                               Nº Item Programa:</t>
  </si>
  <si>
    <t>16/09/2021                                         01</t>
  </si>
  <si>
    <t>SITUAÇÃO:</t>
  </si>
  <si>
    <t xml:space="preserve">Parada Programada  (   X  )     </t>
  </si>
  <si>
    <t>Fora de Parada  (    )</t>
  </si>
  <si>
    <t xml:space="preserve">Parada Acidental  (     ) </t>
  </si>
  <si>
    <t>Atividade de Segurança (     )</t>
  </si>
  <si>
    <t>Reparo (     )</t>
  </si>
  <si>
    <t>Obra Nova (     )</t>
  </si>
  <si>
    <t>ORIENTADOR RESPONSÁVEL:</t>
  </si>
  <si>
    <t>LOCAL DE TRABALHO:</t>
  </si>
  <si>
    <t>EQUIPAMENTO / MÁQUINA / INSTALAÇÃO:</t>
  </si>
  <si>
    <t>DESCRIÇÃO DA ATIVIDADE:</t>
  </si>
  <si>
    <r>
      <t xml:space="preserve">POSSÍVEIS RISCOS DA ATIVIDADE: </t>
    </r>
    <r>
      <rPr>
        <b/>
        <sz val="11"/>
        <color indexed="10"/>
        <rFont val="Arial"/>
        <family val="2"/>
      </rPr>
      <t>INTEGRIDADE FÍSICA</t>
    </r>
  </si>
  <si>
    <t>X</t>
  </si>
  <si>
    <t xml:space="preserve">(    ) Outros: </t>
  </si>
  <si>
    <t>RECURSOS MATERIAIS NECESSÁRIOS:</t>
  </si>
  <si>
    <t xml:space="preserve">Cabos (     )             Furadeira (     )        Perfilados/Eletrocalhas/Eletrodutos (     )       Ferramentas de medições (     )         Ferramentas Manuais (      )        Escada (    ) </t>
  </si>
  <si>
    <t>Outros  (    ) Especficar: _______________________________________________________________________________________________________________________</t>
  </si>
  <si>
    <t>RECOMENDAÇÕES DE SEGURANÇA (GERAIS E ESPECÍFICAS):</t>
  </si>
  <si>
    <t>Cuidados ao utilizar ferramentas manuais.</t>
  </si>
  <si>
    <t>EQUIPAMENTOS DE PROTEÇÃO INDIVIDUAIS OBRIGATÓRIOS:</t>
  </si>
  <si>
    <t>EQUIPAMENTOS DE PROTEÇÃO COLETIVA NECESSÁRIOS:</t>
  </si>
  <si>
    <t>(     ) Avental</t>
  </si>
  <si>
    <t>(     ) Rede protetora para cabelos</t>
  </si>
  <si>
    <t>(     ) ....................................................</t>
  </si>
  <si>
    <t>(     ) Luvas de segurança</t>
  </si>
  <si>
    <t>(     ) Outros (ESPECIFICAR).</t>
  </si>
  <si>
    <t xml:space="preserve">(     ) Calçados de segurança </t>
  </si>
  <si>
    <t>(     ) Protetor auricular</t>
  </si>
  <si>
    <t>(     ) Óculos de segurança</t>
  </si>
  <si>
    <t>(     ) Creme protetor</t>
  </si>
  <si>
    <t>RESPONSÁVEIS PELA EXECUÇÃO DA ATIVIDADE:</t>
  </si>
  <si>
    <t>NOME:</t>
  </si>
  <si>
    <t>CARGO:</t>
  </si>
  <si>
    <t>RA:</t>
  </si>
  <si>
    <t xml:space="preserve">Damiao de sousa alves </t>
  </si>
  <si>
    <t>tecnico1</t>
  </si>
  <si>
    <t xml:space="preserve">cosme de sousa alves </t>
  </si>
  <si>
    <t>tecnico2</t>
  </si>
  <si>
    <t>OBSERVAÇÕES FINAIS:</t>
  </si>
  <si>
    <t>APROVAÇÃO:</t>
  </si>
  <si>
    <t>DATA</t>
  </si>
  <si>
    <t>HORA</t>
  </si>
  <si>
    <t>________________________________________________</t>
  </si>
  <si>
    <t>Responsável pela Equipe de Execução</t>
  </si>
  <si>
    <t>Orientador Responsável</t>
  </si>
  <si>
    <t>ANÁLISE PRELIMINAR DE RISCOS</t>
  </si>
  <si>
    <t xml:space="preserve">Parada Programada  (     )     </t>
  </si>
  <si>
    <t xml:space="preserve">ANÁLISE PRELIMINAR DE RISCOS </t>
  </si>
  <si>
    <t xml:space="preserve"> CENTRAL DE INCÊNDIO</t>
  </si>
  <si>
    <t>Alex</t>
  </si>
  <si>
    <t>Ofiina IEL01</t>
  </si>
  <si>
    <t>Dispositivi loto para bloqueio de enegias</t>
  </si>
  <si>
    <t xml:space="preserve">Pétrick Kauã </t>
  </si>
  <si>
    <t>Cosme Souza</t>
  </si>
  <si>
    <t xml:space="preserve">Damião Souza </t>
  </si>
  <si>
    <t>ANÁLISE PRELIMINAR DE RISCOS - ILUMINAÇÃO</t>
  </si>
  <si>
    <t xml:space="preserve">Fazer a instalação com painel desenirgizado </t>
  </si>
  <si>
    <t xml:space="preserve">Cosme de sousa </t>
  </si>
  <si>
    <t>Laboratório IELI 1</t>
  </si>
  <si>
    <t>INTERFONE</t>
  </si>
  <si>
    <t xml:space="preserve"> Realizar a instalação do equipamento com o sistema  desenergizado;
</t>
  </si>
  <si>
    <t>(  x  ) Luvas de segurança</t>
  </si>
  <si>
    <t xml:space="preserve">(  x  ) Calçados de segurança </t>
  </si>
  <si>
    <t>(  x  ) Óculos de segurança</t>
  </si>
  <si>
    <t>Outros  (    ) Especficar: câmeras, cabos coaxial,conector P4 macro,conector P4 femêa, conector balun, DVR, monitor_______________________________________________________________________________________________________________________</t>
  </si>
  <si>
    <t>Enquanto uma pessoa estiver na escada a outra pessoa terá que segurar a escada; 
Não deixar nada em cima da escada, pois pode cair e machucar a cameça de alguém;
Apenas ligar os equipamento após fazer uma conferencia por mais dois técnicos para evitar danificar os equipamentos;</t>
  </si>
  <si>
    <t>(  X ) Luvas de segurança</t>
  </si>
  <si>
    <t xml:space="preserve">(  X ) Calçados de segurança </t>
  </si>
  <si>
    <t>(  X ) Óculos de segurança</t>
  </si>
  <si>
    <t xml:space="preserve">CARGO: </t>
  </si>
  <si>
    <t xml:space="preserve">Técnico </t>
  </si>
  <si>
    <t xml:space="preserve"> Técnico</t>
  </si>
  <si>
    <t>Pétrick kauã</t>
  </si>
  <si>
    <t xml:space="preserve">DATA
</t>
  </si>
  <si>
    <t>____________________Leandro Costa____________________________</t>
  </si>
  <si>
    <t>ANÁLISE PRELIMINAR DE RISCOS - MONITOR DE ENERGIA</t>
  </si>
  <si>
    <t>MONITOR DE ENERGIA</t>
  </si>
  <si>
    <t xml:space="preserve">João miranda </t>
  </si>
  <si>
    <t>TRAVA AUTOMATIVA</t>
  </si>
  <si>
    <t>Fazer a instalação com o sistema desenergizado.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</si>
</sst>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43" formatCode="_-* #,##0.00_-;\-* #,##0.00_-;_-* &quot;-&quot;??_-;_-@_-"/>
    <numFmt numFmtId="164" formatCode="d"/>
    <numFmt numFmtId="165" formatCode="0.0"/>
    <numFmt numFmtId="166" formatCode="&quot;R$&quot;\ #,##0.0;[Red]\-&quot;R$&quot;\ #,##0.0"/>
  </numFmts>
  <fonts count="84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0"/>
      <name val="Arial"/>
      <family val="2"/>
    </font>
    <font>
      <sz val="36"/>
      <color theme="1"/>
      <name val="Calibri"/>
      <family val="2"/>
      <scheme val="minor"/>
    </font>
    <font>
      <b/>
      <sz val="72"/>
      <color rgb="FFFFFFFF"/>
      <name val="Calibri"/>
      <family val="2"/>
    </font>
    <font>
      <sz val="36"/>
      <color theme="0"/>
      <name val="Calibri"/>
      <family val="2"/>
    </font>
    <font>
      <b/>
      <sz val="22"/>
      <color theme="0"/>
      <name val="Calibri"/>
      <family val="2"/>
    </font>
    <font>
      <b/>
      <sz val="22"/>
      <color theme="0"/>
      <name val="Calibri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22"/>
      <color theme="1" tint="0.34998626667073579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22"/>
      <color rgb="FF000000"/>
      <name val="Calibri"/>
      <family val="2"/>
    </font>
    <font>
      <sz val="22"/>
      <name val="Calibri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rgb="FF000000"/>
      <name val="Arial"/>
      <family val="2"/>
    </font>
    <font>
      <b/>
      <sz val="22"/>
      <color rgb="FFFFFFFF"/>
      <name val="Arial"/>
      <family val="2"/>
    </font>
    <font>
      <sz val="24"/>
      <name val="Arial"/>
      <family val="2"/>
    </font>
    <font>
      <sz val="24"/>
      <color theme="1"/>
      <name val="Arial"/>
      <family val="2"/>
    </font>
    <font>
      <u/>
      <sz val="24"/>
      <name val="Arial"/>
      <family val="2"/>
    </font>
    <font>
      <sz val="24"/>
      <color rgb="FF202124"/>
      <name val="Arial"/>
      <family val="2"/>
    </font>
    <font>
      <b/>
      <sz val="26"/>
      <color rgb="FFFFFFFF"/>
      <name val="Arial"/>
      <family val="2"/>
    </font>
    <font>
      <sz val="26"/>
      <name val="Calibri"/>
      <family val="2"/>
    </font>
    <font>
      <sz val="28"/>
      <name val="Calibri"/>
      <family val="2"/>
    </font>
    <font>
      <sz val="22"/>
      <name val="Arial"/>
      <family val="2"/>
    </font>
    <font>
      <sz val="22"/>
      <color rgb="FF000000"/>
      <name val="Arial"/>
      <family val="2"/>
    </font>
    <font>
      <b/>
      <sz val="72"/>
      <color rgb="FFFFFFFF"/>
      <name val="Arial"/>
      <family val="2"/>
    </font>
    <font>
      <sz val="11"/>
      <color theme="1"/>
      <name val="Arial"/>
      <family val="2"/>
    </font>
    <font>
      <sz val="24"/>
      <color theme="0"/>
      <name val="Arial"/>
      <family val="2"/>
    </font>
    <font>
      <sz val="22"/>
      <color theme="0"/>
      <name val="Arial"/>
      <family val="2"/>
    </font>
    <font>
      <b/>
      <sz val="28"/>
      <color theme="0"/>
      <name val="Arial"/>
      <family val="2"/>
    </font>
    <font>
      <b/>
      <sz val="26"/>
      <color theme="0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color rgb="FF202124"/>
      <name val="Arial"/>
      <family val="2"/>
    </font>
    <font>
      <sz val="8"/>
      <name val="Calibri"/>
      <family val="2"/>
      <scheme val="minor"/>
    </font>
    <font>
      <b/>
      <i/>
      <sz val="72"/>
      <color rgb="FFFFFFFF"/>
      <name val="Arial"/>
      <family val="2"/>
    </font>
    <font>
      <sz val="36"/>
      <color rgb="FFFF0000"/>
      <name val="Arial"/>
      <family val="2"/>
    </font>
    <font>
      <sz val="36"/>
      <color theme="1"/>
      <name val="Arial"/>
      <family val="2"/>
    </font>
    <font>
      <b/>
      <sz val="28"/>
      <color theme="0"/>
      <name val="Calibri Light"/>
      <family val="2"/>
      <scheme val="major"/>
    </font>
    <font>
      <b/>
      <sz val="48"/>
      <color rgb="FFFFFFFF"/>
      <name val="Arial"/>
      <family val="2"/>
    </font>
    <font>
      <b/>
      <sz val="36"/>
      <color rgb="FFFFFFFF"/>
      <name val="Arial"/>
      <family val="2"/>
    </font>
    <font>
      <sz val="36"/>
      <color theme="0"/>
      <name val="Arial"/>
      <family val="2"/>
    </font>
    <font>
      <sz val="26"/>
      <color theme="0"/>
      <name val="Arial"/>
      <family val="2"/>
    </font>
    <font>
      <sz val="10"/>
      <name val="Arial"/>
    </font>
    <font>
      <sz val="11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6"/>
      <color rgb="FF000000"/>
      <name val="Arial"/>
      <charset val="1"/>
    </font>
    <font>
      <sz val="16"/>
      <color rgb="FF000000"/>
      <name val="Arial"/>
      <charset val="1"/>
    </font>
    <font>
      <sz val="72"/>
      <color rgb="FFFFFFFF"/>
      <name val="Arial"/>
    </font>
    <font>
      <sz val="11"/>
      <color rgb="FFFFFFFF"/>
      <name val="Arial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40"/>
      <color theme="1"/>
      <name val="Arial"/>
      <family val="2"/>
    </font>
    <font>
      <sz val="48"/>
      <color theme="1"/>
      <name val="Arial"/>
      <family val="2"/>
    </font>
    <font>
      <sz val="48"/>
      <color rgb="FFFFFFF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0066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9" fontId="3" fillId="0" borderId="0" applyFont="0" applyFill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7" fillId="0" borderId="0"/>
    <xf numFmtId="0" fontId="6" fillId="9" borderId="0" applyNumberFormat="0" applyBorder="0" applyAlignment="0" applyProtection="0"/>
    <xf numFmtId="0" fontId="3" fillId="10" borderId="0" applyNumberFormat="0" applyBorder="0" applyAlignment="0" applyProtection="0"/>
    <xf numFmtId="0" fontId="6" fillId="11" borderId="0" applyNumberFormat="0" applyBorder="0" applyAlignment="0" applyProtection="0"/>
    <xf numFmtId="0" fontId="3" fillId="12" borderId="0" applyNumberFormat="0" applyBorder="0" applyAlignment="0" applyProtection="0"/>
    <xf numFmtId="0" fontId="6" fillId="13" borderId="0" applyNumberFormat="0" applyBorder="0" applyAlignment="0" applyProtection="0"/>
    <xf numFmtId="0" fontId="3" fillId="14" borderId="0" applyNumberFormat="0" applyBorder="0" applyAlignment="0" applyProtection="0"/>
    <xf numFmtId="0" fontId="6" fillId="15" borderId="0" applyNumberFormat="0" applyBorder="0" applyAlignment="0" applyProtection="0"/>
    <xf numFmtId="0" fontId="3" fillId="16" borderId="0" applyNumberFormat="0" applyBorder="0" applyAlignment="0" applyProtection="0"/>
    <xf numFmtId="0" fontId="6" fillId="0" borderId="0"/>
    <xf numFmtId="14" fontId="3" fillId="0" borderId="0" applyFont="0" applyFill="0" applyBorder="0">
      <alignment horizontal="center" vertical="center"/>
    </xf>
    <xf numFmtId="0" fontId="3" fillId="21" borderId="0" applyNumberFormat="0" applyBorder="0" applyAlignment="0" applyProtection="0"/>
    <xf numFmtId="9" fontId="3" fillId="0" borderId="0" applyFont="0" applyFill="0" applyBorder="0" applyProtection="0">
      <alignment horizontal="center" vertical="center"/>
    </xf>
    <xf numFmtId="37" fontId="3" fillId="0" borderId="0" applyFont="0" applyFill="0" applyBorder="0" applyProtection="0">
      <alignment horizontal="center" vertical="center"/>
    </xf>
    <xf numFmtId="0" fontId="3" fillId="0" borderId="0" applyNumberFormat="0" applyFill="0" applyProtection="0">
      <alignment horizontal="right" vertical="center" indent="1"/>
    </xf>
    <xf numFmtId="0" fontId="20" fillId="0" borderId="0" applyNumberFormat="0" applyFill="0" applyProtection="0">
      <alignment vertical="top"/>
    </xf>
    <xf numFmtId="0" fontId="20" fillId="0" borderId="0" applyNumberFormat="0" applyFill="0" applyAlignment="0" applyProtection="0"/>
    <xf numFmtId="0" fontId="19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4" fillId="0" borderId="0"/>
  </cellStyleXfs>
  <cellXfs count="675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9" fontId="0" fillId="0" borderId="0" xfId="1" applyFont="1"/>
    <xf numFmtId="9" fontId="0" fillId="0" borderId="1" xfId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1" xfId="0" applyFont="1" applyFill="1" applyBorder="1"/>
    <xf numFmtId="0" fontId="11" fillId="0" borderId="0" xfId="0" applyFont="1"/>
    <xf numFmtId="0" fontId="6" fillId="19" borderId="0" xfId="3" applyFont="1" applyFill="1" applyAlignment="1">
      <alignment horizontal="center"/>
    </xf>
    <xf numFmtId="0" fontId="0" fillId="0" borderId="7" xfId="0" applyBorder="1"/>
    <xf numFmtId="0" fontId="6" fillId="20" borderId="0" xfId="2" applyFont="1" applyFill="1" applyBorder="1" applyAlignment="1">
      <alignment horizontal="center"/>
    </xf>
    <xf numFmtId="164" fontId="8" fillId="25" borderId="0" xfId="0" applyNumberFormat="1" applyFont="1" applyFill="1" applyAlignment="1">
      <alignment horizontal="center" vertical="center" wrapText="1"/>
    </xf>
    <xf numFmtId="164" fontId="8" fillId="25" borderId="9" xfId="0" applyNumberFormat="1" applyFont="1" applyFill="1" applyBorder="1" applyAlignment="1">
      <alignment horizontal="center" vertical="center" wrapText="1"/>
    </xf>
    <xf numFmtId="164" fontId="8" fillId="25" borderId="10" xfId="0" applyNumberFormat="1" applyFont="1" applyFill="1" applyBorder="1" applyAlignment="1">
      <alignment horizontal="center" vertical="center" wrapText="1"/>
    </xf>
    <xf numFmtId="0" fontId="18" fillId="25" borderId="0" xfId="0" applyFont="1" applyFill="1" applyAlignment="1">
      <alignment horizontal="center" vertical="center" wrapText="1"/>
    </xf>
    <xf numFmtId="0" fontId="18" fillId="25" borderId="9" xfId="0" applyFont="1" applyFill="1" applyBorder="1" applyAlignment="1">
      <alignment horizontal="center" vertical="center" wrapText="1"/>
    </xf>
    <xf numFmtId="0" fontId="18" fillId="25" borderId="10" xfId="0" applyFont="1" applyFill="1" applyBorder="1" applyAlignment="1">
      <alignment horizontal="center" vertical="center" wrapText="1"/>
    </xf>
    <xf numFmtId="0" fontId="8" fillId="25" borderId="11" xfId="0" applyFont="1" applyFill="1" applyBorder="1" applyAlignment="1">
      <alignment horizontal="center" vertical="center" wrapText="1" shrinkToFit="1"/>
    </xf>
    <xf numFmtId="0" fontId="8" fillId="25" borderId="12" xfId="0" applyFont="1" applyFill="1" applyBorder="1" applyAlignment="1">
      <alignment horizontal="center" vertical="center" wrapText="1" shrinkToFi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4" fillId="27" borderId="0" xfId="0" applyFont="1" applyFill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6" fillId="0" borderId="0" xfId="13" applyAlignment="1">
      <alignment wrapText="1"/>
    </xf>
    <xf numFmtId="0" fontId="0" fillId="0" borderId="0" xfId="0" applyAlignment="1">
      <alignment horizontal="center" wrapText="1"/>
    </xf>
    <xf numFmtId="0" fontId="22" fillId="0" borderId="1" xfId="0" applyFont="1" applyBorder="1"/>
    <xf numFmtId="0" fontId="18" fillId="25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wrapText="1"/>
    </xf>
    <xf numFmtId="164" fontId="8" fillId="25" borderId="3" xfId="0" applyNumberFormat="1" applyFont="1" applyFill="1" applyBorder="1" applyAlignment="1">
      <alignment horizontal="center" vertical="center" wrapText="1"/>
    </xf>
    <xf numFmtId="0" fontId="22" fillId="0" borderId="6" xfId="0" applyFont="1" applyBorder="1"/>
    <xf numFmtId="0" fontId="22" fillId="0" borderId="7" xfId="0" applyFont="1" applyBorder="1"/>
    <xf numFmtId="0" fontId="32" fillId="0" borderId="0" xfId="0" applyFont="1" applyAlignment="1">
      <alignment wrapText="1"/>
    </xf>
    <xf numFmtId="0" fontId="33" fillId="0" borderId="0" xfId="19" applyFont="1" applyAlignment="1"/>
    <xf numFmtId="0" fontId="34" fillId="0" borderId="0" xfId="0" applyFont="1" applyAlignment="1">
      <alignment horizontal="center" vertical="center" wrapText="1"/>
    </xf>
    <xf numFmtId="0" fontId="35" fillId="28" borderId="15" xfId="0" applyFont="1" applyFill="1" applyBorder="1" applyAlignment="1">
      <alignment horizontal="center" vertical="center" wrapText="1"/>
    </xf>
    <xf numFmtId="0" fontId="35" fillId="28" borderId="16" xfId="0" applyFont="1" applyFill="1" applyBorder="1" applyAlignment="1">
      <alignment horizontal="center" vertical="center" wrapText="1"/>
    </xf>
    <xf numFmtId="0" fontId="37" fillId="28" borderId="21" xfId="0" applyFont="1" applyFill="1" applyBorder="1" applyAlignment="1">
      <alignment horizontal="center" vertical="center" wrapText="1"/>
    </xf>
    <xf numFmtId="0" fontId="37" fillId="28" borderId="16" xfId="0" applyFont="1" applyFill="1" applyBorder="1" applyAlignment="1">
      <alignment horizontal="center" vertical="center" wrapText="1"/>
    </xf>
    <xf numFmtId="0" fontId="37" fillId="28" borderId="17" xfId="0" applyFont="1" applyFill="1" applyBorder="1" applyAlignment="1">
      <alignment horizontal="center" vertical="center" wrapText="1"/>
    </xf>
    <xf numFmtId="0" fontId="35" fillId="28" borderId="33" xfId="0" applyFont="1" applyFill="1" applyBorder="1" applyAlignment="1">
      <alignment horizontal="center" vertical="center" wrapText="1"/>
    </xf>
    <xf numFmtId="0" fontId="35" fillId="28" borderId="21" xfId="0" applyFont="1" applyFill="1" applyBorder="1" applyAlignment="1">
      <alignment horizontal="center" vertical="center" wrapText="1"/>
    </xf>
    <xf numFmtId="0" fontId="37" fillId="28" borderId="34" xfId="0" applyFont="1" applyFill="1" applyBorder="1" applyAlignment="1">
      <alignment horizontal="center" vertical="center" wrapText="1"/>
    </xf>
    <xf numFmtId="0" fontId="35" fillId="29" borderId="24" xfId="0" applyFont="1" applyFill="1" applyBorder="1" applyAlignment="1">
      <alignment horizontal="center" vertical="center" wrapText="1"/>
    </xf>
    <xf numFmtId="0" fontId="37" fillId="29" borderId="32" xfId="0" applyFont="1" applyFill="1" applyBorder="1" applyAlignment="1">
      <alignment horizontal="center" vertical="center" wrapText="1"/>
    </xf>
    <xf numFmtId="0" fontId="0" fillId="0" borderId="38" xfId="0" applyBorder="1"/>
    <xf numFmtId="0" fontId="44" fillId="28" borderId="3" xfId="0" applyFont="1" applyFill="1" applyBorder="1" applyAlignment="1">
      <alignment horizontal="center" vertical="center" wrapText="1"/>
    </xf>
    <xf numFmtId="0" fontId="44" fillId="29" borderId="2" xfId="0" applyFont="1" applyFill="1" applyBorder="1" applyAlignment="1">
      <alignment horizontal="center" vertical="center" wrapText="1"/>
    </xf>
    <xf numFmtId="0" fontId="44" fillId="29" borderId="1" xfId="0" applyFont="1" applyFill="1" applyBorder="1" applyAlignment="1">
      <alignment horizontal="center" vertical="center" wrapText="1"/>
    </xf>
    <xf numFmtId="0" fontId="45" fillId="29" borderId="1" xfId="0" applyFont="1" applyFill="1" applyBorder="1" applyAlignment="1">
      <alignment horizontal="center" vertical="center" wrapText="1"/>
    </xf>
    <xf numFmtId="14" fontId="44" fillId="28" borderId="1" xfId="0" applyNumberFormat="1" applyFont="1" applyFill="1" applyBorder="1" applyAlignment="1">
      <alignment horizontal="center" vertical="center" wrapText="1"/>
    </xf>
    <xf numFmtId="0" fontId="0" fillId="29" borderId="0" xfId="0" applyFill="1"/>
    <xf numFmtId="0" fontId="44" fillId="28" borderId="1" xfId="0" applyFont="1" applyFill="1" applyBorder="1" applyAlignment="1">
      <alignment horizontal="center" vertical="center" wrapText="1"/>
    </xf>
    <xf numFmtId="0" fontId="45" fillId="28" borderId="1" xfId="0" applyFont="1" applyFill="1" applyBorder="1" applyAlignment="1">
      <alignment horizontal="center" vertical="center" wrapText="1"/>
    </xf>
    <xf numFmtId="14" fontId="44" fillId="29" borderId="1" xfId="0" applyNumberFormat="1" applyFont="1" applyFill="1" applyBorder="1" applyAlignment="1">
      <alignment horizontal="center" vertical="center" wrapText="1"/>
    </xf>
    <xf numFmtId="3" fontId="44" fillId="29" borderId="1" xfId="22" applyNumberFormat="1" applyFont="1" applyFill="1" applyBorder="1" applyAlignment="1">
      <alignment horizontal="center" vertical="center" wrapText="1"/>
    </xf>
    <xf numFmtId="0" fontId="53" fillId="29" borderId="1" xfId="0" applyFont="1" applyFill="1" applyBorder="1" applyAlignment="1">
      <alignment horizontal="center" vertical="center" wrapText="1"/>
    </xf>
    <xf numFmtId="0" fontId="45" fillId="29" borderId="1" xfId="0" applyFont="1" applyFill="1" applyBorder="1" applyAlignment="1">
      <alignment horizontal="center" vertical="center"/>
    </xf>
    <xf numFmtId="0" fontId="54" fillId="29" borderId="1" xfId="0" applyFont="1" applyFill="1" applyBorder="1" applyAlignment="1">
      <alignment horizontal="center" vertical="center"/>
    </xf>
    <xf numFmtId="0" fontId="47" fillId="0" borderId="0" xfId="0" applyFont="1"/>
    <xf numFmtId="0" fontId="38" fillId="0" borderId="44" xfId="0" applyFont="1" applyBorder="1" applyAlignment="1">
      <alignment vertical="center"/>
    </xf>
    <xf numFmtId="0" fontId="0" fillId="0" borderId="61" xfId="0" applyBorder="1"/>
    <xf numFmtId="3" fontId="44" fillId="29" borderId="2" xfId="22" applyNumberFormat="1" applyFont="1" applyFill="1" applyBorder="1" applyAlignment="1">
      <alignment horizontal="center" vertical="center" wrapText="1"/>
    </xf>
    <xf numFmtId="14" fontId="44" fillId="29" borderId="3" xfId="0" applyNumberFormat="1" applyFont="1" applyFill="1" applyBorder="1" applyAlignment="1">
      <alignment horizontal="center" vertical="center" wrapText="1"/>
    </xf>
    <xf numFmtId="0" fontId="48" fillId="33" borderId="28" xfId="0" applyFont="1" applyFill="1" applyBorder="1" applyAlignment="1">
      <alignment horizontal="center" vertical="center" wrapText="1"/>
    </xf>
    <xf numFmtId="0" fontId="47" fillId="29" borderId="52" xfId="0" applyFont="1" applyFill="1" applyBorder="1"/>
    <xf numFmtId="0" fontId="47" fillId="29" borderId="0" xfId="0" applyFont="1" applyFill="1"/>
    <xf numFmtId="0" fontId="52" fillId="35" borderId="37" xfId="0" applyFont="1" applyFill="1" applyBorder="1" applyAlignment="1">
      <alignment horizontal="center" vertical="center"/>
    </xf>
    <xf numFmtId="0" fontId="52" fillId="35" borderId="3" xfId="0" applyFont="1" applyFill="1" applyBorder="1" applyAlignment="1">
      <alignment horizontal="center" vertical="center"/>
    </xf>
    <xf numFmtId="0" fontId="52" fillId="35" borderId="73" xfId="0" applyFont="1" applyFill="1" applyBorder="1" applyAlignment="1">
      <alignment horizontal="center" vertical="center"/>
    </xf>
    <xf numFmtId="0" fontId="52" fillId="35" borderId="24" xfId="0" applyFont="1" applyFill="1" applyBorder="1" applyAlignment="1">
      <alignment horizontal="center" vertical="center"/>
    </xf>
    <xf numFmtId="0" fontId="49" fillId="33" borderId="41" xfId="0" applyFont="1" applyFill="1" applyBorder="1" applyAlignment="1">
      <alignment horizontal="center" vertical="center" wrapText="1"/>
    </xf>
    <xf numFmtId="1" fontId="53" fillId="0" borderId="3" xfId="0" applyNumberFormat="1" applyFont="1" applyBorder="1" applyAlignment="1">
      <alignment horizontal="center" vertical="center"/>
    </xf>
    <xf numFmtId="9" fontId="53" fillId="0" borderId="3" xfId="1" applyFont="1" applyBorder="1" applyAlignment="1">
      <alignment horizontal="center" vertical="center"/>
    </xf>
    <xf numFmtId="0" fontId="57" fillId="0" borderId="69" xfId="0" applyFont="1" applyBorder="1" applyAlignment="1">
      <alignment horizontal="center" vertical="center"/>
    </xf>
    <xf numFmtId="0" fontId="57" fillId="0" borderId="59" xfId="0" applyFont="1" applyBorder="1" applyAlignment="1">
      <alignment horizontal="center" vertical="center"/>
    </xf>
    <xf numFmtId="0" fontId="57" fillId="0" borderId="70" xfId="0" applyFont="1" applyBorder="1" applyAlignment="1">
      <alignment horizontal="center" vertical="center"/>
    </xf>
    <xf numFmtId="9" fontId="53" fillId="0" borderId="1" xfId="1" applyFont="1" applyBorder="1" applyAlignment="1">
      <alignment horizontal="center" vertical="center"/>
    </xf>
    <xf numFmtId="0" fontId="57" fillId="0" borderId="67" xfId="0" applyFont="1" applyBorder="1" applyAlignment="1">
      <alignment horizontal="center" vertical="center"/>
    </xf>
    <xf numFmtId="0" fontId="57" fillId="0" borderId="58" xfId="0" applyFont="1" applyBorder="1" applyAlignment="1">
      <alignment horizontal="center" vertical="center"/>
    </xf>
    <xf numFmtId="0" fontId="57" fillId="0" borderId="68" xfId="0" applyFont="1" applyBorder="1" applyAlignment="1">
      <alignment horizontal="center" vertical="center"/>
    </xf>
    <xf numFmtId="0" fontId="57" fillId="0" borderId="65" xfId="0" applyFont="1" applyBorder="1" applyAlignment="1">
      <alignment horizontal="center" vertical="center"/>
    </xf>
    <xf numFmtId="0" fontId="57" fillId="0" borderId="57" xfId="0" applyFont="1" applyBorder="1" applyAlignment="1">
      <alignment horizontal="center" vertical="center"/>
    </xf>
    <xf numFmtId="0" fontId="57" fillId="0" borderId="66" xfId="0" applyFont="1" applyBorder="1" applyAlignment="1">
      <alignment horizontal="center" vertical="center"/>
    </xf>
    <xf numFmtId="9" fontId="53" fillId="0" borderId="2" xfId="1" applyFont="1" applyBorder="1" applyAlignment="1">
      <alignment horizontal="center" vertical="center"/>
    </xf>
    <xf numFmtId="0" fontId="47" fillId="33" borderId="60" xfId="0" applyFont="1" applyFill="1" applyBorder="1"/>
    <xf numFmtId="0" fontId="47" fillId="33" borderId="52" xfId="0" applyFont="1" applyFill="1" applyBorder="1"/>
    <xf numFmtId="0" fontId="47" fillId="0" borderId="20" xfId="0" applyFont="1" applyBorder="1"/>
    <xf numFmtId="1" fontId="58" fillId="0" borderId="45" xfId="0" applyNumberFormat="1" applyFont="1" applyBorder="1" applyAlignment="1">
      <alignment vertical="center"/>
    </xf>
    <xf numFmtId="0" fontId="47" fillId="0" borderId="46" xfId="0" applyFont="1" applyBorder="1"/>
    <xf numFmtId="0" fontId="47" fillId="0" borderId="56" xfId="0" applyFont="1" applyBorder="1"/>
    <xf numFmtId="1" fontId="58" fillId="0" borderId="75" xfId="0" applyNumberFormat="1" applyFont="1" applyBorder="1" applyAlignment="1">
      <alignment horizontal="center" vertical="center"/>
    </xf>
    <xf numFmtId="1" fontId="58" fillId="0" borderId="41" xfId="0" applyNumberFormat="1" applyFont="1" applyBorder="1" applyAlignment="1">
      <alignment horizontal="center" vertical="center"/>
    </xf>
    <xf numFmtId="0" fontId="47" fillId="33" borderId="55" xfId="0" applyFont="1" applyFill="1" applyBorder="1"/>
    <xf numFmtId="0" fontId="47" fillId="33" borderId="46" xfId="0" applyFont="1" applyFill="1" applyBorder="1"/>
    <xf numFmtId="0" fontId="47" fillId="0" borderId="45" xfId="0" applyFont="1" applyBorder="1"/>
    <xf numFmtId="0" fontId="47" fillId="0" borderId="81" xfId="0" applyFont="1" applyBorder="1"/>
    <xf numFmtId="0" fontId="47" fillId="0" borderId="62" xfId="0" applyFont="1" applyBorder="1"/>
    <xf numFmtId="0" fontId="47" fillId="0" borderId="30" xfId="0" applyFont="1" applyBorder="1"/>
    <xf numFmtId="1" fontId="58" fillId="0" borderId="56" xfId="0" applyNumberFormat="1" applyFont="1" applyBorder="1" applyAlignment="1">
      <alignment horizontal="center" vertical="center"/>
    </xf>
    <xf numFmtId="0" fontId="47" fillId="0" borderId="61" xfId="0" applyFont="1" applyBorder="1"/>
    <xf numFmtId="0" fontId="45" fillId="28" borderId="24" xfId="0" applyFont="1" applyFill="1" applyBorder="1" applyAlignment="1">
      <alignment horizontal="center" vertical="center" wrapText="1"/>
    </xf>
    <xf numFmtId="0" fontId="45" fillId="28" borderId="7" xfId="0" applyFont="1" applyFill="1" applyBorder="1" applyAlignment="1">
      <alignment horizontal="center" vertical="center" wrapText="1"/>
    </xf>
    <xf numFmtId="1" fontId="53" fillId="29" borderId="37" xfId="0" applyNumberFormat="1" applyFont="1" applyFill="1" applyBorder="1" applyAlignment="1">
      <alignment horizontal="center" vertical="center"/>
    </xf>
    <xf numFmtId="0" fontId="53" fillId="29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6" borderId="0" xfId="0" applyFill="1"/>
    <xf numFmtId="0" fontId="0" fillId="26" borderId="0" xfId="0" applyFill="1" applyAlignment="1">
      <alignment wrapText="1"/>
    </xf>
    <xf numFmtId="0" fontId="0" fillId="26" borderId="0" xfId="0" applyFill="1" applyAlignment="1">
      <alignment horizontal="center" vertical="center" wrapText="1"/>
    </xf>
    <xf numFmtId="9" fontId="0" fillId="26" borderId="0" xfId="16" applyFont="1" applyFill="1" applyBorder="1" applyAlignment="1">
      <alignment horizontal="center" vertical="center" wrapText="1"/>
    </xf>
    <xf numFmtId="14" fontId="0" fillId="26" borderId="0" xfId="0" applyNumberFormat="1" applyFill="1" applyAlignment="1">
      <alignment wrapText="1"/>
    </xf>
    <xf numFmtId="0" fontId="0" fillId="26" borderId="0" xfId="0" applyFill="1" applyAlignment="1">
      <alignment horizontal="center" wrapText="1"/>
    </xf>
    <xf numFmtId="0" fontId="0" fillId="27" borderId="0" xfId="0" applyFill="1" applyAlignment="1">
      <alignment horizontal="center" vertical="center" wrapText="1"/>
    </xf>
    <xf numFmtId="0" fontId="8" fillId="25" borderId="84" xfId="0" applyFont="1" applyFill="1" applyBorder="1" applyAlignment="1">
      <alignment horizontal="center" vertical="center" wrapText="1" shrinkToFit="1"/>
    </xf>
    <xf numFmtId="0" fontId="0" fillId="0" borderId="85" xfId="0" applyBorder="1" applyAlignment="1">
      <alignment vertical="center" wrapText="1"/>
    </xf>
    <xf numFmtId="0" fontId="22" fillId="0" borderId="0" xfId="0" applyFont="1"/>
    <xf numFmtId="0" fontId="8" fillId="25" borderId="0" xfId="0" applyFont="1" applyFill="1" applyAlignment="1">
      <alignment horizontal="center" vertical="center" wrapText="1" shrinkToFit="1"/>
    </xf>
    <xf numFmtId="14" fontId="44" fillId="29" borderId="2" xfId="0" applyNumberFormat="1" applyFont="1" applyFill="1" applyBorder="1" applyAlignment="1">
      <alignment horizontal="center" vertical="center" wrapText="1"/>
    </xf>
    <xf numFmtId="0" fontId="63" fillId="32" borderId="48" xfId="0" applyFont="1" applyFill="1" applyBorder="1" applyAlignment="1">
      <alignment horizontal="left" wrapText="1"/>
    </xf>
    <xf numFmtId="1" fontId="58" fillId="0" borderId="87" xfId="0" applyNumberFormat="1" applyFont="1" applyBorder="1" applyAlignment="1">
      <alignment horizontal="center" vertical="center"/>
    </xf>
    <xf numFmtId="0" fontId="53" fillId="29" borderId="42" xfId="0" applyFont="1" applyFill="1" applyBorder="1" applyAlignment="1">
      <alignment horizontal="center" vertical="center"/>
    </xf>
    <xf numFmtId="0" fontId="53" fillId="29" borderId="79" xfId="0" applyFont="1" applyFill="1" applyBorder="1" applyAlignment="1">
      <alignment horizontal="center" vertical="center"/>
    </xf>
    <xf numFmtId="0" fontId="64" fillId="0" borderId="0" xfId="23"/>
    <xf numFmtId="0" fontId="64" fillId="0" borderId="23" xfId="23" applyBorder="1"/>
    <xf numFmtId="0" fontId="64" fillId="0" borderId="61" xfId="23" applyBorder="1"/>
    <xf numFmtId="0" fontId="64" fillId="0" borderId="25" xfId="23" applyBorder="1"/>
    <xf numFmtId="0" fontId="64" fillId="0" borderId="48" xfId="23" applyBorder="1"/>
    <xf numFmtId="0" fontId="66" fillId="0" borderId="88" xfId="23" applyFont="1" applyBorder="1"/>
    <xf numFmtId="0" fontId="64" fillId="0" borderId="29" xfId="23" applyBorder="1"/>
    <xf numFmtId="0" fontId="67" fillId="0" borderId="48" xfId="23" applyFont="1" applyBorder="1"/>
    <xf numFmtId="0" fontId="67" fillId="0" borderId="88" xfId="23" applyFont="1" applyBorder="1"/>
    <xf numFmtId="0" fontId="67" fillId="0" borderId="73" xfId="23" applyFont="1" applyBorder="1" applyAlignment="1">
      <alignment horizontal="center"/>
    </xf>
    <xf numFmtId="0" fontId="64" fillId="0" borderId="3" xfId="23" applyBorder="1" applyAlignment="1">
      <alignment horizontal="center"/>
    </xf>
    <xf numFmtId="0" fontId="67" fillId="0" borderId="90" xfId="23" applyFont="1" applyBorder="1" applyAlignment="1">
      <alignment vertical="top"/>
    </xf>
    <xf numFmtId="0" fontId="67" fillId="0" borderId="74" xfId="23" applyFont="1" applyBorder="1"/>
    <xf numFmtId="0" fontId="67" fillId="0" borderId="2" xfId="23" applyFont="1" applyBorder="1"/>
    <xf numFmtId="0" fontId="67" fillId="0" borderId="88" xfId="23" applyFont="1" applyBorder="1" applyAlignment="1">
      <alignment vertical="top"/>
    </xf>
    <xf numFmtId="0" fontId="67" fillId="0" borderId="3" xfId="23" applyFont="1" applyBorder="1" applyAlignment="1">
      <alignment horizontal="center"/>
    </xf>
    <xf numFmtId="0" fontId="64" fillId="0" borderId="91" xfId="23" applyBorder="1"/>
    <xf numFmtId="0" fontId="64" fillId="0" borderId="92" xfId="23" applyBorder="1"/>
    <xf numFmtId="0" fontId="66" fillId="0" borderId="93" xfId="23" applyFont="1" applyBorder="1"/>
    <xf numFmtId="0" fontId="64" fillId="0" borderId="30" xfId="23" applyBorder="1"/>
    <xf numFmtId="0" fontId="64" fillId="0" borderId="38" xfId="23" applyBorder="1"/>
    <xf numFmtId="0" fontId="64" fillId="0" borderId="28" xfId="23" applyBorder="1"/>
    <xf numFmtId="0" fontId="67" fillId="0" borderId="61" xfId="23" applyFont="1" applyBorder="1"/>
    <xf numFmtId="0" fontId="64" fillId="0" borderId="27" xfId="23" applyBorder="1"/>
    <xf numFmtId="0" fontId="64" fillId="0" borderId="53" xfId="23" applyBorder="1" applyAlignment="1">
      <alignment horizontal="left" vertical="center"/>
    </xf>
    <xf numFmtId="0" fontId="64" fillId="0" borderId="52" xfId="23" applyBorder="1" applyAlignment="1">
      <alignment horizontal="left" vertical="center"/>
    </xf>
    <xf numFmtId="0" fontId="66" fillId="0" borderId="52" xfId="23" applyFont="1" applyBorder="1" applyAlignment="1">
      <alignment horizontal="left" vertical="center"/>
    </xf>
    <xf numFmtId="0" fontId="67" fillId="0" borderId="53" xfId="23" applyFont="1" applyBorder="1" applyAlignment="1">
      <alignment horizontal="left" vertical="center"/>
    </xf>
    <xf numFmtId="0" fontId="67" fillId="0" borderId="52" xfId="23" applyFont="1" applyBorder="1" applyAlignment="1">
      <alignment horizontal="left" vertical="center"/>
    </xf>
    <xf numFmtId="0" fontId="66" fillId="0" borderId="60" xfId="23" applyFont="1" applyBorder="1" applyAlignment="1">
      <alignment horizontal="left" vertical="center"/>
    </xf>
    <xf numFmtId="0" fontId="64" fillId="0" borderId="53" xfId="23" applyBorder="1"/>
    <xf numFmtId="0" fontId="64" fillId="0" borderId="52" xfId="23" applyBorder="1"/>
    <xf numFmtId="0" fontId="66" fillId="0" borderId="60" xfId="23" applyFont="1" applyBorder="1"/>
    <xf numFmtId="0" fontId="64" fillId="0" borderId="30" xfId="23" applyBorder="1" applyAlignment="1">
      <alignment vertical="top" wrapText="1"/>
    </xf>
    <xf numFmtId="0" fontId="64" fillId="0" borderId="38" xfId="23" applyBorder="1" applyAlignment="1">
      <alignment vertical="top" wrapText="1"/>
    </xf>
    <xf numFmtId="0" fontId="64" fillId="0" borderId="62" xfId="23" applyBorder="1"/>
    <xf numFmtId="0" fontId="64" fillId="0" borderId="29" xfId="23" applyBorder="1" applyAlignment="1">
      <alignment vertical="top" wrapText="1"/>
    </xf>
    <xf numFmtId="0" fontId="64" fillId="0" borderId="0" xfId="23" applyAlignment="1">
      <alignment vertical="top" wrapText="1"/>
    </xf>
    <xf numFmtId="0" fontId="68" fillId="0" borderId="0" xfId="23" applyFont="1" applyAlignment="1">
      <alignment vertical="top" wrapText="1"/>
    </xf>
    <xf numFmtId="0" fontId="64" fillId="0" borderId="61" xfId="23" applyBorder="1" applyAlignment="1">
      <alignment horizontal="left" vertical="center"/>
    </xf>
    <xf numFmtId="0" fontId="64" fillId="0" borderId="53" xfId="23" applyBorder="1" applyAlignment="1">
      <alignment vertical="top" wrapText="1"/>
    </xf>
    <xf numFmtId="0" fontId="68" fillId="0" borderId="52" xfId="23" applyFont="1" applyBorder="1" applyAlignment="1">
      <alignment vertical="top" wrapText="1"/>
    </xf>
    <xf numFmtId="0" fontId="69" fillId="0" borderId="60" xfId="23" applyFont="1" applyBorder="1" applyAlignment="1">
      <alignment horizontal="left" vertical="center"/>
    </xf>
    <xf numFmtId="0" fontId="64" fillId="0" borderId="86" xfId="23" applyBorder="1"/>
    <xf numFmtId="0" fontId="64" fillId="0" borderId="47" xfId="23" applyBorder="1"/>
    <xf numFmtId="0" fontId="64" fillId="0" borderId="90" xfId="23" applyBorder="1"/>
    <xf numFmtId="0" fontId="64" fillId="0" borderId="89" xfId="23" applyBorder="1"/>
    <xf numFmtId="0" fontId="64" fillId="0" borderId="88" xfId="23" applyBorder="1"/>
    <xf numFmtId="0" fontId="67" fillId="0" borderId="53" xfId="23" applyFont="1" applyBorder="1"/>
    <xf numFmtId="0" fontId="70" fillId="0" borderId="53" xfId="23" applyFont="1" applyBorder="1" applyAlignment="1">
      <alignment horizontal="left" vertical="center"/>
    </xf>
    <xf numFmtId="0" fontId="66" fillId="0" borderId="53" xfId="23" applyFont="1" applyBorder="1" applyAlignment="1">
      <alignment horizontal="left" vertical="center"/>
    </xf>
    <xf numFmtId="0" fontId="66" fillId="0" borderId="26" xfId="23" applyFont="1" applyBorder="1" applyAlignment="1">
      <alignment horizontal="left" vertical="center"/>
    </xf>
    <xf numFmtId="0" fontId="65" fillId="0" borderId="30" xfId="23" applyFont="1" applyBorder="1" applyAlignment="1">
      <alignment vertical="center"/>
    </xf>
    <xf numFmtId="0" fontId="71" fillId="0" borderId="38" xfId="23" applyFont="1" applyBorder="1" applyAlignment="1">
      <alignment horizontal="center" vertical="center"/>
    </xf>
    <xf numFmtId="0" fontId="65" fillId="0" borderId="38" xfId="23" applyFont="1" applyBorder="1" applyAlignment="1">
      <alignment vertical="center"/>
    </xf>
    <xf numFmtId="0" fontId="65" fillId="0" borderId="62" xfId="23" applyFont="1" applyBorder="1" applyAlignment="1">
      <alignment vertical="center"/>
    </xf>
    <xf numFmtId="14" fontId="64" fillId="0" borderId="72" xfId="23" applyNumberFormat="1" applyBorder="1"/>
    <xf numFmtId="0" fontId="64" fillId="0" borderId="72" xfId="23" applyBorder="1"/>
    <xf numFmtId="0" fontId="64" fillId="0" borderId="74" xfId="23" applyBorder="1"/>
    <xf numFmtId="0" fontId="73" fillId="0" borderId="0" xfId="23" applyFont="1"/>
    <xf numFmtId="0" fontId="73" fillId="0" borderId="48" xfId="23" applyFont="1" applyBorder="1"/>
    <xf numFmtId="0" fontId="73" fillId="0" borderId="61" xfId="23" applyFont="1" applyBorder="1"/>
    <xf numFmtId="0" fontId="73" fillId="0" borderId="61" xfId="23" applyFont="1" applyBorder="1" applyAlignment="1">
      <alignment horizontal="left" vertical="center"/>
    </xf>
    <xf numFmtId="14" fontId="64" fillId="0" borderId="72" xfId="23" quotePrefix="1" applyNumberFormat="1" applyBorder="1"/>
    <xf numFmtId="0" fontId="64" fillId="0" borderId="61" xfId="23" applyBorder="1" applyAlignment="1">
      <alignment horizontal="center" vertical="center"/>
    </xf>
    <xf numFmtId="0" fontId="64" fillId="0" borderId="80" xfId="23" applyBorder="1"/>
    <xf numFmtId="14" fontId="64" fillId="0" borderId="72" xfId="23" applyNumberFormat="1" applyBorder="1" applyAlignment="1">
      <alignment horizontal="left" vertical="center"/>
    </xf>
    <xf numFmtId="0" fontId="0" fillId="36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45" fillId="38" borderId="1" xfId="0" applyFont="1" applyFill="1" applyBorder="1" applyAlignment="1">
      <alignment horizontal="center" vertical="center" wrapText="1"/>
    </xf>
    <xf numFmtId="0" fontId="44" fillId="38" borderId="1" xfId="0" applyFont="1" applyFill="1" applyBorder="1" applyAlignment="1">
      <alignment horizontal="center" vertical="center" wrapText="1"/>
    </xf>
    <xf numFmtId="14" fontId="44" fillId="38" borderId="1" xfId="0" applyNumberFormat="1" applyFont="1" applyFill="1" applyBorder="1" applyAlignment="1">
      <alignment horizontal="center" vertical="center" wrapText="1"/>
    </xf>
    <xf numFmtId="14" fontId="45" fillId="29" borderId="1" xfId="0" applyNumberFormat="1" applyFont="1" applyFill="1" applyBorder="1" applyAlignment="1">
      <alignment horizontal="center" vertical="center" wrapText="1"/>
    </xf>
    <xf numFmtId="0" fontId="74" fillId="0" borderId="0" xfId="0" quotePrefix="1" applyFont="1"/>
    <xf numFmtId="0" fontId="67" fillId="0" borderId="2" xfId="23" applyFont="1" applyBorder="1" applyAlignment="1">
      <alignment vertical="top"/>
    </xf>
    <xf numFmtId="0" fontId="67" fillId="0" borderId="3" xfId="23" applyFont="1" applyBorder="1" applyAlignment="1">
      <alignment vertical="top"/>
    </xf>
    <xf numFmtId="0" fontId="0" fillId="0" borderId="1" xfId="0" applyBorder="1" applyAlignment="1">
      <alignment horizontal="center"/>
    </xf>
    <xf numFmtId="0" fontId="75" fillId="0" borderId="0" xfId="0" applyFont="1"/>
    <xf numFmtId="0" fontId="0" fillId="38" borderId="0" xfId="0" applyFill="1"/>
    <xf numFmtId="16" fontId="28" fillId="38" borderId="0" xfId="0" applyNumberFormat="1" applyFont="1" applyFill="1" applyAlignment="1">
      <alignment horizontal="center" vertical="center"/>
    </xf>
    <xf numFmtId="0" fontId="37" fillId="38" borderId="0" xfId="0" applyFont="1" applyFill="1" applyAlignment="1">
      <alignment horizontal="center" vertical="center" wrapText="1"/>
    </xf>
    <xf numFmtId="165" fontId="27" fillId="38" borderId="0" xfId="0" applyNumberFormat="1" applyFont="1" applyFill="1" applyAlignment="1">
      <alignment horizontal="center" vertical="center" wrapText="1"/>
    </xf>
    <xf numFmtId="0" fontId="27" fillId="38" borderId="0" xfId="0" applyFont="1" applyFill="1" applyAlignment="1">
      <alignment vertical="center" wrapText="1"/>
    </xf>
    <xf numFmtId="14" fontId="43" fillId="38" borderId="0" xfId="0" applyNumberFormat="1" applyFont="1" applyFill="1" applyAlignment="1">
      <alignment horizontal="center" vertical="center" wrapText="1"/>
    </xf>
    <xf numFmtId="0" fontId="31" fillId="38" borderId="0" xfId="0" applyFont="1" applyFill="1" applyAlignment="1">
      <alignment horizontal="center" vertical="center"/>
    </xf>
    <xf numFmtId="1" fontId="30" fillId="38" borderId="0" xfId="0" applyNumberFormat="1" applyFont="1" applyFill="1" applyAlignment="1">
      <alignment horizontal="center" vertical="center"/>
    </xf>
    <xf numFmtId="1" fontId="28" fillId="38" borderId="0" xfId="0" applyNumberFormat="1" applyFont="1" applyFill="1" applyAlignment="1">
      <alignment horizontal="center"/>
    </xf>
    <xf numFmtId="0" fontId="37" fillId="29" borderId="8" xfId="0" applyFont="1" applyFill="1" applyBorder="1" applyAlignment="1">
      <alignment horizontal="center" vertical="center" wrapText="1"/>
    </xf>
    <xf numFmtId="0" fontId="38" fillId="29" borderId="94" xfId="0" applyFont="1" applyFill="1" applyBorder="1" applyAlignment="1">
      <alignment horizontal="center" vertical="center" wrapText="1"/>
    </xf>
    <xf numFmtId="0" fontId="37" fillId="28" borderId="94" xfId="0" applyFont="1" applyFill="1" applyBorder="1" applyAlignment="1">
      <alignment vertical="center" wrapText="1"/>
    </xf>
    <xf numFmtId="0" fontId="35" fillId="29" borderId="94" xfId="0" applyFont="1" applyFill="1" applyBorder="1" applyAlignment="1">
      <alignment horizontal="center" vertical="center" wrapText="1"/>
    </xf>
    <xf numFmtId="0" fontId="56" fillId="32" borderId="0" xfId="0" applyFont="1" applyFill="1" applyAlignment="1">
      <alignment vertical="center" wrapText="1"/>
    </xf>
    <xf numFmtId="0" fontId="36" fillId="33" borderId="95" xfId="0" applyFont="1" applyFill="1" applyBorder="1" applyAlignment="1">
      <alignment horizontal="center" vertical="center"/>
    </xf>
    <xf numFmtId="0" fontId="36" fillId="33" borderId="22" xfId="0" applyFont="1" applyFill="1" applyBorder="1" applyAlignment="1">
      <alignment horizontal="center" vertical="center"/>
    </xf>
    <xf numFmtId="0" fontId="36" fillId="33" borderId="54" xfId="0" applyFont="1" applyFill="1" applyBorder="1" applyAlignment="1">
      <alignment horizontal="center" vertical="center"/>
    </xf>
    <xf numFmtId="0" fontId="36" fillId="33" borderId="28" xfId="0" applyFont="1" applyFill="1" applyBorder="1" applyAlignment="1">
      <alignment horizontal="center" vertical="center"/>
    </xf>
    <xf numFmtId="0" fontId="36" fillId="33" borderId="96" xfId="0" applyFont="1" applyFill="1" applyBorder="1" applyAlignment="1">
      <alignment horizontal="center" vertical="center"/>
    </xf>
    <xf numFmtId="0" fontId="36" fillId="33" borderId="97" xfId="0" applyFont="1" applyFill="1" applyBorder="1" applyAlignment="1">
      <alignment horizontal="center" vertical="center"/>
    </xf>
    <xf numFmtId="0" fontId="36" fillId="33" borderId="98" xfId="0" applyFont="1" applyFill="1" applyBorder="1" applyAlignment="1">
      <alignment horizontal="center" vertical="center"/>
    </xf>
    <xf numFmtId="0" fontId="36" fillId="33" borderId="99" xfId="0" applyFont="1" applyFill="1" applyBorder="1" applyAlignment="1">
      <alignment horizontal="center" vertical="center"/>
    </xf>
    <xf numFmtId="0" fontId="56" fillId="32" borderId="105" xfId="0" applyFont="1" applyFill="1" applyBorder="1" applyAlignment="1">
      <alignment vertical="center" wrapText="1"/>
    </xf>
    <xf numFmtId="0" fontId="56" fillId="32" borderId="106" xfId="0" applyFont="1" applyFill="1" applyBorder="1" applyAlignment="1">
      <alignment vertical="center" wrapText="1"/>
    </xf>
    <xf numFmtId="0" fontId="56" fillId="32" borderId="113" xfId="0" applyFont="1" applyFill="1" applyBorder="1" applyAlignment="1">
      <alignment vertical="center" wrapText="1"/>
    </xf>
    <xf numFmtId="0" fontId="56" fillId="32" borderId="115" xfId="0" applyFont="1" applyFill="1" applyBorder="1" applyAlignment="1">
      <alignment vertical="center" wrapText="1"/>
    </xf>
    <xf numFmtId="0" fontId="56" fillId="32" borderId="116" xfId="0" applyFont="1" applyFill="1" applyBorder="1" applyAlignment="1">
      <alignment vertical="center" wrapText="1"/>
    </xf>
    <xf numFmtId="0" fontId="78" fillId="0" borderId="0" xfId="0" applyFont="1"/>
    <xf numFmtId="0" fontId="0" fillId="38" borderId="0" xfId="0" applyFill="1" applyAlignment="1">
      <alignment horizontal="center" vertical="center"/>
    </xf>
    <xf numFmtId="0" fontId="26" fillId="38" borderId="0" xfId="0" applyFont="1" applyFill="1" applyAlignment="1">
      <alignment horizontal="center" vertical="center" wrapText="1"/>
    </xf>
    <xf numFmtId="0" fontId="27" fillId="38" borderId="0" xfId="0" applyFont="1" applyFill="1" applyAlignment="1">
      <alignment horizontal="center" vertical="center" wrapText="1"/>
    </xf>
    <xf numFmtId="0" fontId="29" fillId="38" borderId="0" xfId="0" applyFont="1" applyFill="1" applyAlignment="1">
      <alignment horizontal="center" vertical="center"/>
    </xf>
    <xf numFmtId="9" fontId="29" fillId="38" borderId="0" xfId="1" applyFont="1" applyFill="1" applyBorder="1" applyAlignment="1">
      <alignment horizontal="center" vertical="center"/>
    </xf>
    <xf numFmtId="0" fontId="37" fillId="28" borderId="1" xfId="0" applyFont="1" applyFill="1" applyBorder="1" applyAlignment="1">
      <alignment horizontal="center" vertical="center" wrapText="1"/>
    </xf>
    <xf numFmtId="0" fontId="37" fillId="28" borderId="18" xfId="0" applyFont="1" applyFill="1" applyBorder="1" applyAlignment="1">
      <alignment horizontal="center" vertical="center" wrapText="1"/>
    </xf>
    <xf numFmtId="0" fontId="37" fillId="28" borderId="5" xfId="0" applyFont="1" applyFill="1" applyBorder="1" applyAlignment="1">
      <alignment horizontal="center" vertical="center" wrapText="1"/>
    </xf>
    <xf numFmtId="0" fontId="37" fillId="29" borderId="1" xfId="0" applyFont="1" applyFill="1" applyBorder="1" applyAlignment="1">
      <alignment horizontal="center" vertical="center" wrapText="1"/>
    </xf>
    <xf numFmtId="0" fontId="37" fillId="29" borderId="18" xfId="0" applyFont="1" applyFill="1" applyBorder="1" applyAlignment="1">
      <alignment horizontal="center" vertical="center" wrapText="1"/>
    </xf>
    <xf numFmtId="0" fontId="37" fillId="28" borderId="94" xfId="0" applyFont="1" applyFill="1" applyBorder="1" applyAlignment="1">
      <alignment horizontal="center" vertical="center" wrapText="1"/>
    </xf>
    <xf numFmtId="0" fontId="35" fillId="28" borderId="1" xfId="0" applyFont="1" applyFill="1" applyBorder="1" applyAlignment="1">
      <alignment horizontal="center" vertical="center" wrapText="1"/>
    </xf>
    <xf numFmtId="0" fontId="35" fillId="28" borderId="18" xfId="0" applyFont="1" applyFill="1" applyBorder="1" applyAlignment="1">
      <alignment horizontal="center" vertical="center" wrapText="1"/>
    </xf>
    <xf numFmtId="0" fontId="37" fillId="29" borderId="94" xfId="0" applyFont="1" applyFill="1" applyBorder="1" applyAlignment="1">
      <alignment horizontal="center" vertical="center" wrapText="1"/>
    </xf>
    <xf numFmtId="0" fontId="35" fillId="28" borderId="8" xfId="0" applyFont="1" applyFill="1" applyBorder="1" applyAlignment="1">
      <alignment horizontal="center" vertical="center" wrapText="1"/>
    </xf>
    <xf numFmtId="14" fontId="37" fillId="38" borderId="0" xfId="0" applyNumberFormat="1" applyFont="1" applyFill="1" applyAlignment="1">
      <alignment horizontal="center" vertical="center" wrapText="1"/>
    </xf>
    <xf numFmtId="0" fontId="37" fillId="28" borderId="2" xfId="0" applyFont="1" applyFill="1" applyBorder="1" applyAlignment="1">
      <alignment horizontal="center" vertical="center" wrapText="1"/>
    </xf>
    <xf numFmtId="0" fontId="37" fillId="28" borderId="78" xfId="0" applyFont="1" applyFill="1" applyBorder="1" applyAlignment="1">
      <alignment horizontal="center" vertical="center" wrapText="1"/>
    </xf>
    <xf numFmtId="1" fontId="27" fillId="38" borderId="0" xfId="0" applyNumberFormat="1" applyFont="1" applyFill="1" applyAlignment="1">
      <alignment horizontal="center" vertical="center" wrapText="1"/>
    </xf>
    <xf numFmtId="0" fontId="35" fillId="29" borderId="3" xfId="0" applyFont="1" applyFill="1" applyBorder="1" applyAlignment="1">
      <alignment horizontal="center" vertical="center" wrapText="1"/>
    </xf>
    <xf numFmtId="0" fontId="35" fillId="28" borderId="32" xfId="0" applyFont="1" applyFill="1" applyBorder="1" applyAlignment="1">
      <alignment horizontal="center" vertical="center"/>
    </xf>
    <xf numFmtId="0" fontId="35" fillId="28" borderId="24" xfId="0" applyFont="1" applyFill="1" applyBorder="1" applyAlignment="1">
      <alignment horizontal="center" vertical="center"/>
    </xf>
    <xf numFmtId="0" fontId="35" fillId="28" borderId="7" xfId="0" applyFont="1" applyFill="1" applyBorder="1" applyAlignment="1">
      <alignment horizontal="center" vertical="center" wrapText="1"/>
    </xf>
    <xf numFmtId="0" fontId="37" fillId="29" borderId="3" xfId="0" applyFont="1" applyFill="1" applyBorder="1" applyAlignment="1">
      <alignment horizontal="center" vertical="center" wrapText="1"/>
    </xf>
    <xf numFmtId="0" fontId="35" fillId="29" borderId="1" xfId="0" applyFont="1" applyFill="1" applyBorder="1" applyAlignment="1">
      <alignment horizontal="center" vertical="center" wrapText="1"/>
    </xf>
    <xf numFmtId="0" fontId="35" fillId="29" borderId="18" xfId="0" applyFont="1" applyFill="1" applyBorder="1" applyAlignment="1">
      <alignment horizontal="center" vertical="center" wrapText="1"/>
    </xf>
    <xf numFmtId="0" fontId="35" fillId="29" borderId="8" xfId="0" applyFont="1" applyFill="1" applyBorder="1" applyAlignment="1">
      <alignment horizontal="center" vertical="center" wrapText="1"/>
    </xf>
    <xf numFmtId="0" fontId="35" fillId="29" borderId="5" xfId="0" applyFont="1" applyFill="1" applyBorder="1" applyAlignment="1">
      <alignment horizontal="center" vertical="center" wrapText="1"/>
    </xf>
    <xf numFmtId="0" fontId="35" fillId="28" borderId="94" xfId="0" applyFont="1" applyFill="1" applyBorder="1" applyAlignment="1">
      <alignment horizontal="center" vertical="center" wrapText="1"/>
    </xf>
    <xf numFmtId="0" fontId="35" fillId="29" borderId="32" xfId="0" applyFont="1" applyFill="1" applyBorder="1" applyAlignment="1">
      <alignment horizontal="center" vertical="center" wrapText="1"/>
    </xf>
    <xf numFmtId="0" fontId="35" fillId="28" borderId="32" xfId="0" applyFont="1" applyFill="1" applyBorder="1" applyAlignment="1">
      <alignment horizontal="center" vertical="center" wrapText="1"/>
    </xf>
    <xf numFmtId="0" fontId="35" fillId="29" borderId="7" xfId="0" applyFont="1" applyFill="1" applyBorder="1" applyAlignment="1">
      <alignment horizontal="center" vertical="center" wrapText="1"/>
    </xf>
    <xf numFmtId="0" fontId="37" fillId="29" borderId="5" xfId="0" applyFont="1" applyFill="1" applyBorder="1" applyAlignment="1">
      <alignment horizontal="center" vertical="center" wrapText="1"/>
    </xf>
    <xf numFmtId="0" fontId="37" fillId="29" borderId="78" xfId="0" applyFont="1" applyFill="1" applyBorder="1" applyAlignment="1">
      <alignment horizontal="center" vertical="center" wrapText="1"/>
    </xf>
    <xf numFmtId="0" fontId="14" fillId="38" borderId="0" xfId="0" applyFont="1" applyFill="1" applyAlignment="1">
      <alignment horizontal="center" vertical="center"/>
    </xf>
    <xf numFmtId="1" fontId="29" fillId="38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94" xfId="0" applyBorder="1"/>
    <xf numFmtId="0" fontId="44" fillId="29" borderId="0" xfId="0" applyFont="1" applyFill="1" applyAlignment="1">
      <alignment horizontal="center" vertical="center" wrapText="1"/>
    </xf>
    <xf numFmtId="0" fontId="44" fillId="28" borderId="0" xfId="0" applyFont="1" applyFill="1" applyAlignment="1">
      <alignment horizontal="center" vertical="center" wrapText="1"/>
    </xf>
    <xf numFmtId="0" fontId="45" fillId="28" borderId="0" xfId="0" applyFont="1" applyFill="1" applyAlignment="1">
      <alignment horizontal="center" vertical="center" wrapText="1"/>
    </xf>
    <xf numFmtId="0" fontId="45" fillId="29" borderId="0" xfId="0" applyFont="1" applyFill="1" applyAlignment="1">
      <alignment horizontal="center" vertical="center" wrapText="1"/>
    </xf>
    <xf numFmtId="0" fontId="0" fillId="0" borderId="94" xfId="0" applyBorder="1" applyAlignment="1">
      <alignment horizontal="center"/>
    </xf>
    <xf numFmtId="0" fontId="79" fillId="38" borderId="94" xfId="6" applyFont="1" applyFill="1" applyBorder="1" applyAlignment="1">
      <alignment horizontal="center" vertical="center" wrapText="1"/>
    </xf>
    <xf numFmtId="10" fontId="79" fillId="38" borderId="94" xfId="6" applyNumberFormat="1" applyFont="1" applyFill="1" applyBorder="1" applyAlignment="1">
      <alignment horizontal="center" vertical="center" wrapText="1"/>
    </xf>
    <xf numFmtId="14" fontId="79" fillId="38" borderId="94" xfId="6" applyNumberFormat="1" applyFont="1" applyFill="1" applyBorder="1" applyAlignment="1">
      <alignment horizontal="center" vertical="center" wrapText="1"/>
    </xf>
    <xf numFmtId="0" fontId="6" fillId="17" borderId="94" xfId="0" applyFont="1" applyFill="1" applyBorder="1" applyAlignment="1">
      <alignment horizontal="center" vertical="center"/>
    </xf>
    <xf numFmtId="0" fontId="0" fillId="17" borderId="94" xfId="0" applyFill="1" applyBorder="1" applyAlignment="1">
      <alignment horizontal="center"/>
    </xf>
    <xf numFmtId="0" fontId="23" fillId="0" borderId="94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 wrapText="1"/>
    </xf>
    <xf numFmtId="9" fontId="0" fillId="0" borderId="94" xfId="16" applyFont="1" applyFill="1" applyBorder="1" applyAlignment="1">
      <alignment horizontal="center" vertical="center" wrapText="1"/>
    </xf>
    <xf numFmtId="14" fontId="0" fillId="0" borderId="94" xfId="14" applyFont="1" applyFill="1" applyBorder="1" applyAlignment="1">
      <alignment horizontal="center" vertical="center" wrapText="1"/>
    </xf>
    <xf numFmtId="37" fontId="0" fillId="0" borderId="94" xfId="17" applyFont="1" applyFill="1" applyBorder="1" applyAlignment="1">
      <alignment horizontal="center" vertical="center" wrapText="1"/>
    </xf>
    <xf numFmtId="0" fontId="79" fillId="38" borderId="94" xfId="5" applyFont="1" applyFill="1" applyBorder="1" applyAlignment="1">
      <alignment horizontal="center" vertical="center" wrapText="1"/>
    </xf>
    <xf numFmtId="10" fontId="79" fillId="38" borderId="94" xfId="5" applyNumberFormat="1" applyFont="1" applyFill="1" applyBorder="1" applyAlignment="1">
      <alignment horizontal="center" vertical="center" wrapText="1"/>
    </xf>
    <xf numFmtId="14" fontId="79" fillId="38" borderId="94" xfId="5" applyNumberFormat="1" applyFont="1" applyFill="1" applyBorder="1" applyAlignment="1">
      <alignment horizontal="center" vertical="center" wrapText="1"/>
    </xf>
    <xf numFmtId="0" fontId="79" fillId="38" borderId="94" xfId="10" applyFont="1" applyFill="1" applyBorder="1" applyAlignment="1">
      <alignment horizontal="center" vertical="center" wrapText="1"/>
    </xf>
    <xf numFmtId="10" fontId="79" fillId="38" borderId="94" xfId="10" applyNumberFormat="1" applyFont="1" applyFill="1" applyBorder="1" applyAlignment="1">
      <alignment horizontal="center" vertical="center" wrapText="1"/>
    </xf>
    <xf numFmtId="14" fontId="79" fillId="38" borderId="94" xfId="10" applyNumberFormat="1" applyFont="1" applyFill="1" applyBorder="1" applyAlignment="1">
      <alignment horizontal="center" vertical="center" wrapText="1"/>
    </xf>
    <xf numFmtId="0" fontId="79" fillId="38" borderId="94" xfId="9" applyFont="1" applyFill="1" applyBorder="1" applyAlignment="1">
      <alignment horizontal="center" vertical="center" wrapText="1"/>
    </xf>
    <xf numFmtId="10" fontId="79" fillId="38" borderId="94" xfId="9" applyNumberFormat="1" applyFont="1" applyFill="1" applyBorder="1" applyAlignment="1">
      <alignment horizontal="center" vertical="center" wrapText="1"/>
    </xf>
    <xf numFmtId="14" fontId="79" fillId="38" borderId="94" xfId="9" applyNumberFormat="1" applyFont="1" applyFill="1" applyBorder="1" applyAlignment="1">
      <alignment horizontal="center" vertical="center" wrapText="1"/>
    </xf>
    <xf numFmtId="0" fontId="79" fillId="38" borderId="94" xfId="8" applyFont="1" applyFill="1" applyBorder="1" applyAlignment="1">
      <alignment horizontal="center" vertical="center" wrapText="1"/>
    </xf>
    <xf numFmtId="10" fontId="79" fillId="38" borderId="94" xfId="8" applyNumberFormat="1" applyFont="1" applyFill="1" applyBorder="1" applyAlignment="1">
      <alignment horizontal="center" vertical="center" wrapText="1"/>
    </xf>
    <xf numFmtId="14" fontId="79" fillId="38" borderId="94" xfId="8" applyNumberFormat="1" applyFont="1" applyFill="1" applyBorder="1" applyAlignment="1">
      <alignment horizontal="center" vertical="center" wrapText="1"/>
    </xf>
    <xf numFmtId="0" fontId="79" fillId="38" borderId="94" xfId="7" applyFont="1" applyFill="1" applyBorder="1" applyAlignment="1">
      <alignment horizontal="center" vertical="center" wrapText="1"/>
    </xf>
    <xf numFmtId="10" fontId="79" fillId="38" borderId="94" xfId="7" applyNumberFormat="1" applyFont="1" applyFill="1" applyBorder="1" applyAlignment="1">
      <alignment horizontal="center" vertical="center" wrapText="1"/>
    </xf>
    <xf numFmtId="14" fontId="79" fillId="38" borderId="94" xfId="7" applyNumberFormat="1" applyFont="1" applyFill="1" applyBorder="1" applyAlignment="1">
      <alignment horizontal="center" vertical="center" wrapText="1"/>
    </xf>
    <xf numFmtId="0" fontId="79" fillId="38" borderId="94" xfId="15" applyFont="1" applyFill="1" applyBorder="1" applyAlignment="1">
      <alignment horizontal="center" vertical="center" wrapText="1"/>
    </xf>
    <xf numFmtId="10" fontId="79" fillId="38" borderId="94" xfId="15" applyNumberFormat="1" applyFont="1" applyFill="1" applyBorder="1" applyAlignment="1">
      <alignment horizontal="center" vertical="center" wrapText="1"/>
    </xf>
    <xf numFmtId="14" fontId="79" fillId="38" borderId="94" xfId="15" applyNumberFormat="1" applyFont="1" applyFill="1" applyBorder="1" applyAlignment="1">
      <alignment horizontal="center" vertical="center" wrapText="1"/>
    </xf>
    <xf numFmtId="0" fontId="79" fillId="38" borderId="94" xfId="11" applyFont="1" applyFill="1" applyBorder="1" applyAlignment="1">
      <alignment horizontal="center" vertical="center" wrapText="1"/>
    </xf>
    <xf numFmtId="10" fontId="79" fillId="38" borderId="94" xfId="11" applyNumberFormat="1" applyFont="1" applyFill="1" applyBorder="1" applyAlignment="1">
      <alignment horizontal="center" vertical="center" wrapText="1"/>
    </xf>
    <xf numFmtId="14" fontId="79" fillId="38" borderId="94" xfId="11" applyNumberFormat="1" applyFont="1" applyFill="1" applyBorder="1" applyAlignment="1">
      <alignment horizontal="center" vertical="center" wrapText="1"/>
    </xf>
    <xf numFmtId="0" fontId="79" fillId="38" borderId="94" xfId="12" applyFont="1" applyFill="1" applyBorder="1" applyAlignment="1">
      <alignment horizontal="center" vertical="center" wrapText="1"/>
    </xf>
    <xf numFmtId="10" fontId="79" fillId="38" borderId="94" xfId="12" applyNumberFormat="1" applyFont="1" applyFill="1" applyBorder="1" applyAlignment="1">
      <alignment horizontal="center" vertical="center" wrapText="1"/>
    </xf>
    <xf numFmtId="14" fontId="79" fillId="38" borderId="94" xfId="12" applyNumberFormat="1" applyFont="1" applyFill="1" applyBorder="1" applyAlignment="1">
      <alignment horizontal="center" vertical="center" wrapText="1"/>
    </xf>
    <xf numFmtId="0" fontId="79" fillId="38" borderId="94" xfId="11" applyFont="1" applyFill="1" applyBorder="1" applyAlignment="1">
      <alignment horizontal="center" wrapText="1"/>
    </xf>
    <xf numFmtId="0" fontId="79" fillId="38" borderId="94" xfId="12" applyFont="1" applyFill="1" applyBorder="1" applyAlignment="1">
      <alignment horizontal="center" wrapText="1"/>
    </xf>
    <xf numFmtId="0" fontId="16" fillId="0" borderId="8" xfId="13" applyFont="1" applyBorder="1"/>
    <xf numFmtId="0" fontId="25" fillId="25" borderId="5" xfId="0" applyFont="1" applyFill="1" applyBorder="1" applyAlignment="1">
      <alignment horizontal="center" vertical="center"/>
    </xf>
    <xf numFmtId="0" fontId="16" fillId="0" borderId="39" xfId="13" applyFont="1" applyBorder="1" applyAlignment="1">
      <alignment horizontal="center" vertical="center" wrapText="1"/>
    </xf>
    <xf numFmtId="0" fontId="79" fillId="38" borderId="102" xfId="6" applyFont="1" applyFill="1" applyBorder="1" applyAlignment="1">
      <alignment horizontal="center" vertical="center" wrapText="1"/>
    </xf>
    <xf numFmtId="0" fontId="79" fillId="38" borderId="8" xfId="5" applyFont="1" applyFill="1" applyBorder="1" applyAlignment="1">
      <alignment horizontal="center" vertical="center" wrapText="1"/>
    </xf>
    <xf numFmtId="0" fontId="79" fillId="38" borderId="5" xfId="5" applyFont="1" applyFill="1" applyBorder="1" applyAlignment="1">
      <alignment horizontal="center" vertical="center" wrapText="1"/>
    </xf>
    <xf numFmtId="0" fontId="79" fillId="38" borderId="5" xfId="10" applyFont="1" applyFill="1" applyBorder="1" applyAlignment="1">
      <alignment horizontal="center" vertical="center" wrapText="1"/>
    </xf>
    <xf numFmtId="0" fontId="79" fillId="38" borderId="5" xfId="9" applyFont="1" applyFill="1" applyBorder="1" applyAlignment="1">
      <alignment horizontal="center" vertical="center" wrapText="1"/>
    </xf>
    <xf numFmtId="0" fontId="79" fillId="38" borderId="5" xfId="8" applyFont="1" applyFill="1" applyBorder="1" applyAlignment="1">
      <alignment horizontal="center" vertical="center" wrapText="1"/>
    </xf>
    <xf numFmtId="0" fontId="79" fillId="38" borderId="5" xfId="7" applyFont="1" applyFill="1" applyBorder="1" applyAlignment="1">
      <alignment horizontal="center" vertical="center" wrapText="1"/>
    </xf>
    <xf numFmtId="0" fontId="79" fillId="38" borderId="5" xfId="15" applyFont="1" applyFill="1" applyBorder="1" applyAlignment="1">
      <alignment horizontal="center" vertical="center" wrapText="1"/>
    </xf>
    <xf numFmtId="0" fontId="79" fillId="38" borderId="5" xfId="11" applyFont="1" applyFill="1" applyBorder="1" applyAlignment="1">
      <alignment horizontal="center" vertical="center" wrapText="1"/>
    </xf>
    <xf numFmtId="0" fontId="79" fillId="38" borderId="5" xfId="12" applyFont="1" applyFill="1" applyBorder="1" applyAlignment="1">
      <alignment horizontal="center" vertical="center" wrapText="1"/>
    </xf>
    <xf numFmtId="0" fontId="79" fillId="0" borderId="94" xfId="0" applyFont="1" applyBorder="1" applyAlignment="1">
      <alignment horizontal="center" vertical="center"/>
    </xf>
    <xf numFmtId="0" fontId="79" fillId="0" borderId="94" xfId="0" applyFont="1" applyBorder="1" applyAlignment="1">
      <alignment horizontal="center" vertical="center" wrapText="1"/>
    </xf>
    <xf numFmtId="0" fontId="79" fillId="0" borderId="103" xfId="0" applyFont="1" applyBorder="1" applyAlignment="1">
      <alignment horizontal="center" vertical="center"/>
    </xf>
    <xf numFmtId="8" fontId="79" fillId="0" borderId="94" xfId="0" applyNumberFormat="1" applyFont="1" applyBorder="1" applyAlignment="1">
      <alignment horizontal="center" vertical="center"/>
    </xf>
    <xf numFmtId="10" fontId="79" fillId="0" borderId="94" xfId="0" applyNumberFormat="1" applyFont="1" applyBorder="1" applyAlignment="1">
      <alignment horizontal="center" vertical="center"/>
    </xf>
    <xf numFmtId="8" fontId="79" fillId="0" borderId="102" xfId="0" applyNumberFormat="1" applyFont="1" applyBorder="1" applyAlignment="1">
      <alignment horizontal="center" vertical="center"/>
    </xf>
    <xf numFmtId="8" fontId="0" fillId="0" borderId="94" xfId="0" applyNumberFormat="1" applyBorder="1"/>
    <xf numFmtId="8" fontId="0" fillId="0" borderId="103" xfId="0" applyNumberFormat="1" applyBorder="1" applyAlignment="1">
      <alignment horizontal="center" vertical="center"/>
    </xf>
    <xf numFmtId="8" fontId="0" fillId="0" borderId="103" xfId="0" applyNumberFormat="1" applyBorder="1"/>
    <xf numFmtId="9" fontId="79" fillId="0" borderId="94" xfId="0" applyNumberFormat="1" applyFont="1" applyBorder="1" applyAlignment="1">
      <alignment horizontal="center" vertical="center"/>
    </xf>
    <xf numFmtId="166" fontId="79" fillId="0" borderId="94" xfId="0" applyNumberFormat="1" applyFont="1" applyBorder="1" applyAlignment="1">
      <alignment horizontal="center" vertical="center"/>
    </xf>
    <xf numFmtId="9" fontId="0" fillId="0" borderId="103" xfId="0" applyNumberFormat="1" applyBorder="1"/>
    <xf numFmtId="8" fontId="44" fillId="29" borderId="63" xfId="0" applyNumberFormat="1" applyFont="1" applyFill="1" applyBorder="1" applyAlignment="1">
      <alignment horizontal="center" vertical="center" wrapText="1"/>
    </xf>
    <xf numFmtId="8" fontId="81" fillId="0" borderId="71" xfId="0" applyNumberFormat="1" applyFont="1" applyBorder="1"/>
    <xf numFmtId="0" fontId="45" fillId="39" borderId="1" xfId="0" applyFont="1" applyFill="1" applyBorder="1" applyAlignment="1">
      <alignment horizontal="center" vertical="center" wrapText="1"/>
    </xf>
    <xf numFmtId="0" fontId="44" fillId="39" borderId="1" xfId="0" applyFont="1" applyFill="1" applyBorder="1" applyAlignment="1">
      <alignment horizontal="center" vertical="center" wrapText="1"/>
    </xf>
    <xf numFmtId="0" fontId="76" fillId="33" borderId="111" xfId="0" applyFont="1" applyFill="1" applyBorder="1" applyAlignment="1">
      <alignment horizontal="center" vertical="center" wrapText="1"/>
    </xf>
    <xf numFmtId="0" fontId="76" fillId="33" borderId="112" xfId="0" applyFont="1" applyFill="1" applyBorder="1" applyAlignment="1">
      <alignment horizontal="center" vertical="center" wrapText="1"/>
    </xf>
    <xf numFmtId="0" fontId="76" fillId="33" borderId="100" xfId="0" applyFont="1" applyFill="1" applyBorder="1" applyAlignment="1">
      <alignment horizontal="center" vertical="center" wrapText="1"/>
    </xf>
    <xf numFmtId="0" fontId="76" fillId="33" borderId="114" xfId="0" applyFont="1" applyFill="1" applyBorder="1" applyAlignment="1">
      <alignment horizontal="center" vertical="center" wrapText="1"/>
    </xf>
    <xf numFmtId="0" fontId="76" fillId="33" borderId="118" xfId="0" applyFont="1" applyFill="1" applyBorder="1" applyAlignment="1">
      <alignment horizontal="center" vertical="center" wrapText="1"/>
    </xf>
    <xf numFmtId="0" fontId="76" fillId="33" borderId="122" xfId="0" applyFont="1" applyFill="1" applyBorder="1" applyAlignment="1">
      <alignment horizontal="center" vertical="center" wrapText="1"/>
    </xf>
    <xf numFmtId="0" fontId="76" fillId="33" borderId="106" xfId="0" applyFont="1" applyFill="1" applyBorder="1" applyAlignment="1">
      <alignment horizontal="center" vertical="center"/>
    </xf>
    <xf numFmtId="0" fontId="76" fillId="33" borderId="107" xfId="0" applyFont="1" applyFill="1" applyBorder="1" applyAlignment="1">
      <alignment horizontal="center" vertical="center"/>
    </xf>
    <xf numFmtId="0" fontId="76" fillId="33" borderId="100" xfId="0" applyFont="1" applyFill="1" applyBorder="1" applyAlignment="1">
      <alignment horizontal="center" vertical="center"/>
    </xf>
    <xf numFmtId="0" fontId="76" fillId="33" borderId="0" xfId="0" applyFont="1" applyFill="1" applyAlignment="1">
      <alignment horizontal="center" vertical="center"/>
    </xf>
    <xf numFmtId="0" fontId="76" fillId="33" borderId="101" xfId="0" applyFont="1" applyFill="1" applyBorder="1" applyAlignment="1">
      <alignment horizontal="center" vertical="center"/>
    </xf>
    <xf numFmtId="0" fontId="76" fillId="33" borderId="118" xfId="0" applyFont="1" applyFill="1" applyBorder="1" applyAlignment="1">
      <alignment horizontal="center" vertical="center"/>
    </xf>
    <xf numFmtId="0" fontId="76" fillId="33" borderId="116" xfId="0" applyFont="1" applyFill="1" applyBorder="1" applyAlignment="1">
      <alignment horizontal="center" vertical="center"/>
    </xf>
    <xf numFmtId="0" fontId="76" fillId="33" borderId="117" xfId="0" applyFont="1" applyFill="1" applyBorder="1" applyAlignment="1">
      <alignment horizontal="center" vertical="center"/>
    </xf>
    <xf numFmtId="0" fontId="76" fillId="33" borderId="108" xfId="0" applyFont="1" applyFill="1" applyBorder="1" applyAlignment="1">
      <alignment horizontal="left" vertical="center"/>
    </xf>
    <xf numFmtId="0" fontId="76" fillId="33" borderId="110" xfId="0" applyFont="1" applyFill="1" applyBorder="1" applyAlignment="1">
      <alignment horizontal="left" vertical="center"/>
    </xf>
    <xf numFmtId="0" fontId="76" fillId="33" borderId="109" xfId="0" applyFont="1" applyFill="1" applyBorder="1" applyAlignment="1">
      <alignment horizontal="left" vertical="center"/>
    </xf>
    <xf numFmtId="0" fontId="76" fillId="33" borderId="102" xfId="0" applyFont="1" applyFill="1" applyBorder="1" applyAlignment="1">
      <alignment horizontal="left" vertical="center"/>
    </xf>
    <xf numFmtId="0" fontId="76" fillId="33" borderId="104" xfId="0" applyFont="1" applyFill="1" applyBorder="1" applyAlignment="1">
      <alignment horizontal="left" vertical="center"/>
    </xf>
    <xf numFmtId="0" fontId="76" fillId="33" borderId="103" xfId="0" applyFont="1" applyFill="1" applyBorder="1" applyAlignment="1">
      <alignment horizontal="left" vertical="center"/>
    </xf>
    <xf numFmtId="0" fontId="76" fillId="33" borderId="102" xfId="0" applyFont="1" applyFill="1" applyBorder="1" applyAlignment="1">
      <alignment horizontal="left"/>
    </xf>
    <xf numFmtId="0" fontId="76" fillId="33" borderId="104" xfId="0" applyFont="1" applyFill="1" applyBorder="1" applyAlignment="1">
      <alignment horizontal="left"/>
    </xf>
    <xf numFmtId="0" fontId="76" fillId="33" borderId="103" xfId="0" applyFont="1" applyFill="1" applyBorder="1" applyAlignment="1">
      <alignment horizontal="left"/>
    </xf>
    <xf numFmtId="0" fontId="77" fillId="33" borderId="119" xfId="0" applyFont="1" applyFill="1" applyBorder="1" applyAlignment="1">
      <alignment horizontal="left" vertical="top" wrapText="1"/>
    </xf>
    <xf numFmtId="0" fontId="77" fillId="33" borderId="120" xfId="0" applyFont="1" applyFill="1" applyBorder="1" applyAlignment="1">
      <alignment horizontal="left" vertical="top" wrapText="1"/>
    </xf>
    <xf numFmtId="0" fontId="77" fillId="33" borderId="121" xfId="0" applyFont="1" applyFill="1" applyBorder="1" applyAlignment="1">
      <alignment horizontal="left" vertical="top" wrapText="1"/>
    </xf>
    <xf numFmtId="0" fontId="0" fillId="38" borderId="0" xfId="0" applyFill="1" applyAlignment="1">
      <alignment horizontal="center" vertical="center"/>
    </xf>
    <xf numFmtId="0" fontId="26" fillId="38" borderId="0" xfId="0" applyFont="1" applyFill="1" applyAlignment="1">
      <alignment horizontal="center" vertical="center" wrapText="1"/>
    </xf>
    <xf numFmtId="0" fontId="27" fillId="38" borderId="0" xfId="0" applyFont="1" applyFill="1" applyAlignment="1">
      <alignment horizontal="center" vertical="center" wrapText="1"/>
    </xf>
    <xf numFmtId="0" fontId="29" fillId="38" borderId="0" xfId="0" applyFont="1" applyFill="1" applyAlignment="1">
      <alignment horizontal="center" vertical="center"/>
    </xf>
    <xf numFmtId="9" fontId="29" fillId="38" borderId="0" xfId="1" applyFont="1" applyFill="1" applyBorder="1" applyAlignment="1">
      <alignment horizontal="center" vertical="center"/>
    </xf>
    <xf numFmtId="0" fontId="37" fillId="28" borderId="1" xfId="0" applyFont="1" applyFill="1" applyBorder="1" applyAlignment="1">
      <alignment horizontal="center" vertical="center" wrapText="1"/>
    </xf>
    <xf numFmtId="0" fontId="37" fillId="28" borderId="18" xfId="0" applyFont="1" applyFill="1" applyBorder="1" applyAlignment="1">
      <alignment horizontal="center" vertical="center" wrapText="1"/>
    </xf>
    <xf numFmtId="0" fontId="37" fillId="28" borderId="8" xfId="0" applyFont="1" applyFill="1" applyBorder="1" applyAlignment="1">
      <alignment horizontal="center" vertical="center" wrapText="1"/>
    </xf>
    <xf numFmtId="0" fontId="37" fillId="28" borderId="5" xfId="0" applyFont="1" applyFill="1" applyBorder="1" applyAlignment="1">
      <alignment horizontal="center" vertical="center" wrapText="1"/>
    </xf>
    <xf numFmtId="0" fontId="37" fillId="28" borderId="39" xfId="0" applyFont="1" applyFill="1" applyBorder="1" applyAlignment="1">
      <alignment horizontal="center" vertical="center" wrapText="1"/>
    </xf>
    <xf numFmtId="0" fontId="37" fillId="28" borderId="54" xfId="0" applyFont="1" applyFill="1" applyBorder="1" applyAlignment="1">
      <alignment horizontal="center" vertical="center" wrapText="1"/>
    </xf>
    <xf numFmtId="0" fontId="37" fillId="29" borderId="1" xfId="0" applyFont="1" applyFill="1" applyBorder="1" applyAlignment="1">
      <alignment horizontal="center" vertical="center" wrapText="1"/>
    </xf>
    <xf numFmtId="0" fontId="37" fillId="29" borderId="18" xfId="0" applyFont="1" applyFill="1" applyBorder="1" applyAlignment="1">
      <alignment horizontal="center" vertical="center" wrapText="1"/>
    </xf>
    <xf numFmtId="0" fontId="37" fillId="28" borderId="94" xfId="0" applyFont="1" applyFill="1" applyBorder="1" applyAlignment="1">
      <alignment horizontal="center" vertical="center" wrapText="1"/>
    </xf>
    <xf numFmtId="0" fontId="35" fillId="28" borderId="1" xfId="0" applyFont="1" applyFill="1" applyBorder="1" applyAlignment="1">
      <alignment horizontal="center" vertical="center" wrapText="1"/>
    </xf>
    <xf numFmtId="0" fontId="35" fillId="28" borderId="18" xfId="0" applyFont="1" applyFill="1" applyBorder="1" applyAlignment="1">
      <alignment horizontal="center" vertical="center" wrapText="1"/>
    </xf>
    <xf numFmtId="0" fontId="37" fillId="29" borderId="94" xfId="0" applyFont="1" applyFill="1" applyBorder="1" applyAlignment="1">
      <alignment horizontal="center" vertical="center" wrapText="1"/>
    </xf>
    <xf numFmtId="0" fontId="37" fillId="28" borderId="50" xfId="0" applyFont="1" applyFill="1" applyBorder="1" applyAlignment="1">
      <alignment horizontal="center" vertical="center" wrapText="1"/>
    </xf>
    <xf numFmtId="0" fontId="35" fillId="28" borderId="5" xfId="0" applyFont="1" applyFill="1" applyBorder="1" applyAlignment="1">
      <alignment horizontal="center" vertical="center" wrapText="1"/>
    </xf>
    <xf numFmtId="0" fontId="35" fillId="28" borderId="8" xfId="0" applyFont="1" applyFill="1" applyBorder="1" applyAlignment="1">
      <alignment horizontal="center" vertical="center" wrapText="1"/>
    </xf>
    <xf numFmtId="14" fontId="42" fillId="38" borderId="0" xfId="0" applyNumberFormat="1" applyFont="1" applyFill="1" applyAlignment="1">
      <alignment horizontal="center" vertical="center" wrapText="1"/>
    </xf>
    <xf numFmtId="0" fontId="42" fillId="38" borderId="0" xfId="0" applyFont="1" applyFill="1" applyAlignment="1">
      <alignment horizontal="center" vertical="center" wrapText="1"/>
    </xf>
    <xf numFmtId="0" fontId="37" fillId="28" borderId="4" xfId="0" applyFont="1" applyFill="1" applyBorder="1" applyAlignment="1">
      <alignment horizontal="center" vertical="center" wrapText="1"/>
    </xf>
    <xf numFmtId="0" fontId="37" fillId="28" borderId="3" xfId="0" applyFont="1" applyFill="1" applyBorder="1" applyAlignment="1">
      <alignment horizontal="center" vertical="center" wrapText="1"/>
    </xf>
    <xf numFmtId="0" fontId="35" fillId="28" borderId="23" xfId="0" applyFont="1" applyFill="1" applyBorder="1" applyAlignment="1">
      <alignment horizontal="center" vertical="center" wrapText="1"/>
    </xf>
    <xf numFmtId="0" fontId="35" fillId="28" borderId="24" xfId="0" applyFont="1" applyFill="1" applyBorder="1" applyAlignment="1">
      <alignment horizontal="center" vertical="center" wrapText="1"/>
    </xf>
    <xf numFmtId="0" fontId="35" fillId="28" borderId="4" xfId="0" applyFont="1" applyFill="1" applyBorder="1" applyAlignment="1">
      <alignment horizontal="center" vertical="center" wrapText="1"/>
    </xf>
    <xf numFmtId="0" fontId="35" fillId="28" borderId="3" xfId="0" applyFont="1" applyFill="1" applyBorder="1" applyAlignment="1">
      <alignment horizontal="center" vertical="center" wrapText="1"/>
    </xf>
    <xf numFmtId="14" fontId="37" fillId="38" borderId="0" xfId="0" applyNumberFormat="1" applyFont="1" applyFill="1" applyAlignment="1">
      <alignment horizontal="center" vertical="center" wrapText="1"/>
    </xf>
    <xf numFmtId="0" fontId="13" fillId="33" borderId="29" xfId="0" applyFont="1" applyFill="1" applyBorder="1" applyAlignment="1">
      <alignment horizontal="center" vertical="center" textRotation="90" wrapText="1"/>
    </xf>
    <xf numFmtId="0" fontId="13" fillId="33" borderId="30" xfId="0" applyFont="1" applyFill="1" applyBorder="1" applyAlignment="1">
      <alignment horizontal="center" vertical="center" textRotation="90" wrapText="1"/>
    </xf>
    <xf numFmtId="0" fontId="37" fillId="28" borderId="2" xfId="0" applyFont="1" applyFill="1" applyBorder="1" applyAlignment="1">
      <alignment horizontal="center" vertical="center" wrapText="1"/>
    </xf>
    <xf numFmtId="0" fontId="37" fillId="28" borderId="20" xfId="0" applyFont="1" applyFill="1" applyBorder="1" applyAlignment="1">
      <alignment horizontal="center" vertical="center" wrapText="1"/>
    </xf>
    <xf numFmtId="0" fontId="13" fillId="33" borderId="26" xfId="0" applyFont="1" applyFill="1" applyBorder="1" applyAlignment="1">
      <alignment horizontal="center" vertical="center" textRotation="90"/>
    </xf>
    <xf numFmtId="0" fontId="13" fillId="33" borderId="27" xfId="0" applyFont="1" applyFill="1" applyBorder="1" applyAlignment="1">
      <alignment horizontal="center" vertical="center" textRotation="90"/>
    </xf>
    <xf numFmtId="0" fontId="35" fillId="28" borderId="25" xfId="0" applyFont="1" applyFill="1" applyBorder="1" applyAlignment="1">
      <alignment horizontal="center" vertical="center" wrapText="1"/>
    </xf>
    <xf numFmtId="0" fontId="35" fillId="28" borderId="2" xfId="0" applyFont="1" applyFill="1" applyBorder="1" applyAlignment="1">
      <alignment horizontal="center" vertical="center" wrapText="1"/>
    </xf>
    <xf numFmtId="0" fontId="37" fillId="28" borderId="40" xfId="0" applyFont="1" applyFill="1" applyBorder="1" applyAlignment="1">
      <alignment horizontal="center" vertical="center" wrapText="1"/>
    </xf>
    <xf numFmtId="0" fontId="37" fillId="28" borderId="78" xfId="0" applyFont="1" applyFill="1" applyBorder="1" applyAlignment="1">
      <alignment horizontal="center" vertical="center" wrapText="1"/>
    </xf>
    <xf numFmtId="1" fontId="27" fillId="38" borderId="0" xfId="0" applyNumberFormat="1" applyFont="1" applyFill="1" applyAlignment="1">
      <alignment horizontal="center" vertical="center" wrapText="1"/>
    </xf>
    <xf numFmtId="0" fontId="39" fillId="28" borderId="4" xfId="0" applyFont="1" applyFill="1" applyBorder="1" applyAlignment="1">
      <alignment horizontal="center" vertical="center" wrapText="1"/>
    </xf>
    <xf numFmtId="0" fontId="39" fillId="28" borderId="3" xfId="0" applyFont="1" applyFill="1" applyBorder="1" applyAlignment="1">
      <alignment horizontal="center" vertical="center" wrapText="1"/>
    </xf>
    <xf numFmtId="0" fontId="35" fillId="29" borderId="2" xfId="0" applyFont="1" applyFill="1" applyBorder="1" applyAlignment="1">
      <alignment horizontal="center" vertical="center" wrapText="1"/>
    </xf>
    <xf numFmtId="0" fontId="35" fillId="29" borderId="3" xfId="0" applyFont="1" applyFill="1" applyBorder="1" applyAlignment="1">
      <alignment horizontal="center" vertical="center" wrapText="1"/>
    </xf>
    <xf numFmtId="0" fontId="35" fillId="28" borderId="25" xfId="0" applyFont="1" applyFill="1" applyBorder="1" applyAlignment="1">
      <alignment horizontal="center" vertical="center"/>
    </xf>
    <xf numFmtId="0" fontId="35" fillId="28" borderId="23" xfId="0" applyFont="1" applyFill="1" applyBorder="1" applyAlignment="1">
      <alignment horizontal="center" vertical="center"/>
    </xf>
    <xf numFmtId="0" fontId="35" fillId="28" borderId="31" xfId="0" applyFont="1" applyFill="1" applyBorder="1" applyAlignment="1">
      <alignment horizontal="center" vertical="center"/>
    </xf>
    <xf numFmtId="0" fontId="35" fillId="28" borderId="22" xfId="0" applyFont="1" applyFill="1" applyBorder="1" applyAlignment="1">
      <alignment horizontal="center" vertical="center" wrapText="1"/>
    </xf>
    <xf numFmtId="0" fontId="35" fillId="28" borderId="36" xfId="0" applyFont="1" applyFill="1" applyBorder="1" applyAlignment="1">
      <alignment horizontal="center" vertical="center"/>
    </xf>
    <xf numFmtId="0" fontId="35" fillId="28" borderId="32" xfId="0" applyFont="1" applyFill="1" applyBorder="1" applyAlignment="1">
      <alignment horizontal="center" vertical="center"/>
    </xf>
    <xf numFmtId="0" fontId="35" fillId="28" borderId="24" xfId="0" applyFont="1" applyFill="1" applyBorder="1" applyAlignment="1">
      <alignment horizontal="center" vertical="center"/>
    </xf>
    <xf numFmtId="0" fontId="35" fillId="28" borderId="7" xfId="0" applyFont="1" applyFill="1" applyBorder="1" applyAlignment="1">
      <alignment horizontal="center" vertical="center"/>
    </xf>
    <xf numFmtId="0" fontId="37" fillId="28" borderId="22" xfId="0" applyFont="1" applyFill="1" applyBorder="1" applyAlignment="1">
      <alignment horizontal="center" vertical="center" wrapText="1"/>
    </xf>
    <xf numFmtId="0" fontId="35" fillId="28" borderId="7" xfId="0" applyFont="1" applyFill="1" applyBorder="1" applyAlignment="1">
      <alignment horizontal="center" vertical="center" wrapText="1"/>
    </xf>
    <xf numFmtId="0" fontId="37" fillId="29" borderId="3" xfId="0" applyFont="1" applyFill="1" applyBorder="1" applyAlignment="1">
      <alignment horizontal="center" vertical="center" wrapText="1"/>
    </xf>
    <xf numFmtId="0" fontId="35" fillId="28" borderId="20" xfId="0" applyFont="1" applyFill="1" applyBorder="1" applyAlignment="1">
      <alignment horizontal="center" vertical="center" wrapText="1"/>
    </xf>
    <xf numFmtId="0" fontId="35" fillId="29" borderId="24" xfId="0" applyFont="1" applyFill="1" applyBorder="1" applyAlignment="1">
      <alignment horizontal="center" vertical="center"/>
    </xf>
    <xf numFmtId="0" fontId="35" fillId="29" borderId="7" xfId="0" applyFont="1" applyFill="1" applyBorder="1" applyAlignment="1">
      <alignment horizontal="center" vertical="center"/>
    </xf>
    <xf numFmtId="0" fontId="35" fillId="29" borderId="1" xfId="0" applyFont="1" applyFill="1" applyBorder="1" applyAlignment="1">
      <alignment horizontal="center" vertical="center" wrapText="1"/>
    </xf>
    <xf numFmtId="0" fontId="35" fillId="28" borderId="39" xfId="0" applyFont="1" applyFill="1" applyBorder="1" applyAlignment="1">
      <alignment horizontal="center" vertical="center" wrapText="1"/>
    </xf>
    <xf numFmtId="0" fontId="35" fillId="28" borderId="54" xfId="0" applyFont="1" applyFill="1" applyBorder="1" applyAlignment="1">
      <alignment horizontal="center" vertical="center" wrapText="1"/>
    </xf>
    <xf numFmtId="0" fontId="35" fillId="29" borderId="36" xfId="0" applyFont="1" applyFill="1" applyBorder="1" applyAlignment="1">
      <alignment horizontal="center" vertical="center"/>
    </xf>
    <xf numFmtId="0" fontId="35" fillId="29" borderId="32" xfId="0" applyFont="1" applyFill="1" applyBorder="1" applyAlignment="1">
      <alignment horizontal="center" vertical="center"/>
    </xf>
    <xf numFmtId="0" fontId="35" fillId="29" borderId="18" xfId="0" applyFont="1" applyFill="1" applyBorder="1" applyAlignment="1">
      <alignment horizontal="center" vertical="center" wrapText="1"/>
    </xf>
    <xf numFmtId="0" fontId="35" fillId="29" borderId="8" xfId="0" applyFont="1" applyFill="1" applyBorder="1" applyAlignment="1">
      <alignment horizontal="center" vertical="center" wrapText="1"/>
    </xf>
    <xf numFmtId="0" fontId="35" fillId="29" borderId="5" xfId="0" applyFont="1" applyFill="1" applyBorder="1" applyAlignment="1">
      <alignment horizontal="center" vertical="center" wrapText="1"/>
    </xf>
    <xf numFmtId="0" fontId="37" fillId="28" borderId="24" xfId="0" applyFont="1" applyFill="1" applyBorder="1" applyAlignment="1">
      <alignment horizontal="center" vertical="center" wrapText="1"/>
    </xf>
    <xf numFmtId="0" fontId="37" fillId="28" borderId="7" xfId="0" applyFont="1" applyFill="1" applyBorder="1" applyAlignment="1">
      <alignment horizontal="center" vertical="center" wrapText="1"/>
    </xf>
    <xf numFmtId="0" fontId="35" fillId="28" borderId="94" xfId="0" applyFont="1" applyFill="1" applyBorder="1" applyAlignment="1">
      <alignment horizontal="center" vertical="center" wrapText="1"/>
    </xf>
    <xf numFmtId="0" fontId="35" fillId="29" borderId="36" xfId="0" applyFont="1" applyFill="1" applyBorder="1" applyAlignment="1">
      <alignment horizontal="center" vertical="center" wrapText="1"/>
    </xf>
    <xf numFmtId="0" fontId="35" fillId="29" borderId="32" xfId="0" applyFont="1" applyFill="1" applyBorder="1" applyAlignment="1">
      <alignment horizontal="center" vertical="center" wrapText="1"/>
    </xf>
    <xf numFmtId="0" fontId="35" fillId="28" borderId="40" xfId="0" applyFont="1" applyFill="1" applyBorder="1" applyAlignment="1">
      <alignment horizontal="center" vertical="center" wrapText="1"/>
    </xf>
    <xf numFmtId="0" fontId="37" fillId="28" borderId="24" xfId="0" applyFont="1" applyFill="1" applyBorder="1" applyAlignment="1">
      <alignment horizontal="center" vertical="center"/>
    </xf>
    <xf numFmtId="0" fontId="37" fillId="28" borderId="7" xfId="0" applyFont="1" applyFill="1" applyBorder="1" applyAlignment="1">
      <alignment horizontal="center" vertical="center"/>
    </xf>
    <xf numFmtId="0" fontId="35" fillId="28" borderId="36" xfId="0" applyFont="1" applyFill="1" applyBorder="1" applyAlignment="1">
      <alignment horizontal="center" vertical="center" wrapText="1"/>
    </xf>
    <xf numFmtId="0" fontId="35" fillId="28" borderId="32" xfId="0" applyFont="1" applyFill="1" applyBorder="1" applyAlignment="1">
      <alignment horizontal="center" vertical="center" wrapText="1"/>
    </xf>
    <xf numFmtId="0" fontId="35" fillId="28" borderId="35" xfId="0" applyFont="1" applyFill="1" applyBorder="1" applyAlignment="1">
      <alignment horizontal="center" vertical="center" wrapText="1"/>
    </xf>
    <xf numFmtId="0" fontId="35" fillId="28" borderId="37" xfId="0" applyFont="1" applyFill="1" applyBorder="1" applyAlignment="1">
      <alignment horizontal="center" vertical="center" wrapText="1"/>
    </xf>
    <xf numFmtId="0" fontId="35" fillId="29" borderId="39" xfId="0" applyFont="1" applyFill="1" applyBorder="1" applyAlignment="1">
      <alignment horizontal="center" vertical="center" wrapText="1"/>
    </xf>
    <xf numFmtId="0" fontId="37" fillId="29" borderId="2" xfId="0" applyFont="1" applyFill="1" applyBorder="1" applyAlignment="1">
      <alignment horizontal="center" vertical="center" wrapText="1"/>
    </xf>
    <xf numFmtId="0" fontId="35" fillId="29" borderId="1" xfId="0" applyFont="1" applyFill="1" applyBorder="1" applyAlignment="1">
      <alignment horizontal="center" vertical="center"/>
    </xf>
    <xf numFmtId="0" fontId="35" fillId="29" borderId="18" xfId="0" applyFont="1" applyFill="1" applyBorder="1" applyAlignment="1">
      <alignment horizontal="center" vertical="center"/>
    </xf>
    <xf numFmtId="0" fontId="35" fillId="29" borderId="7" xfId="0" applyFont="1" applyFill="1" applyBorder="1" applyAlignment="1">
      <alignment horizontal="center" vertical="center" wrapText="1"/>
    </xf>
    <xf numFmtId="0" fontId="37" fillId="29" borderId="5" xfId="0" applyFont="1" applyFill="1" applyBorder="1" applyAlignment="1">
      <alignment horizontal="center" vertical="center" wrapText="1"/>
    </xf>
    <xf numFmtId="0" fontId="37" fillId="29" borderId="78" xfId="0" applyFont="1" applyFill="1" applyBorder="1" applyAlignment="1">
      <alignment horizontal="center" vertical="center" wrapText="1"/>
    </xf>
    <xf numFmtId="0" fontId="37" fillId="29" borderId="22" xfId="0" applyFont="1" applyFill="1" applyBorder="1" applyAlignment="1">
      <alignment horizontal="center" vertical="center" wrapText="1"/>
    </xf>
    <xf numFmtId="0" fontId="13" fillId="33" borderId="28" xfId="0" applyFont="1" applyFill="1" applyBorder="1" applyAlignment="1">
      <alignment horizontal="center" vertical="center" textRotation="90"/>
    </xf>
    <xf numFmtId="0" fontId="13" fillId="33" borderId="26" xfId="0" applyFont="1" applyFill="1" applyBorder="1" applyAlignment="1">
      <alignment horizontal="center" vertical="center" textRotation="90" wrapText="1"/>
    </xf>
    <xf numFmtId="0" fontId="13" fillId="33" borderId="27" xfId="0" applyFont="1" applyFill="1" applyBorder="1" applyAlignment="1">
      <alignment horizontal="center" vertical="center" textRotation="90" wrapText="1"/>
    </xf>
    <xf numFmtId="0" fontId="13" fillId="33" borderId="28" xfId="0" applyFont="1" applyFill="1" applyBorder="1" applyAlignment="1">
      <alignment horizontal="center" vertical="center" textRotation="90" wrapText="1"/>
    </xf>
    <xf numFmtId="0" fontId="37" fillId="29" borderId="39" xfId="0" applyFont="1" applyFill="1" applyBorder="1" applyAlignment="1">
      <alignment horizontal="center" vertical="center" wrapText="1"/>
    </xf>
    <xf numFmtId="0" fontId="37" fillId="29" borderId="54" xfId="0" applyFont="1" applyFill="1" applyBorder="1" applyAlignment="1">
      <alignment horizontal="center" vertical="center" wrapText="1"/>
    </xf>
    <xf numFmtId="0" fontId="12" fillId="33" borderId="26" xfId="0" applyFont="1" applyFill="1" applyBorder="1" applyAlignment="1">
      <alignment horizontal="center" vertical="center" textRotation="90" wrapText="1"/>
    </xf>
    <xf numFmtId="0" fontId="12" fillId="33" borderId="27" xfId="0" applyFont="1" applyFill="1" applyBorder="1" applyAlignment="1">
      <alignment horizontal="center" vertical="center" textRotation="90" wrapText="1"/>
    </xf>
    <xf numFmtId="0" fontId="12" fillId="30" borderId="27" xfId="0" applyFont="1" applyFill="1" applyBorder="1" applyAlignment="1">
      <alignment horizontal="center" vertical="center" textRotation="90" wrapText="1"/>
    </xf>
    <xf numFmtId="0" fontId="12" fillId="30" borderId="28" xfId="0" applyFont="1" applyFill="1" applyBorder="1" applyAlignment="1">
      <alignment horizontal="center" vertical="center" textRotation="90" wrapText="1"/>
    </xf>
    <xf numFmtId="0" fontId="13" fillId="18" borderId="27" xfId="0" applyFont="1" applyFill="1" applyBorder="1" applyAlignment="1">
      <alignment horizontal="center" vertical="center" textRotation="90"/>
    </xf>
    <xf numFmtId="0" fontId="13" fillId="18" borderId="28" xfId="0" applyFont="1" applyFill="1" applyBorder="1" applyAlignment="1">
      <alignment horizontal="center" vertical="center" textRotation="90"/>
    </xf>
    <xf numFmtId="0" fontId="12" fillId="33" borderId="27" xfId="0" applyFont="1" applyFill="1" applyBorder="1" applyAlignment="1">
      <alignment horizontal="center" vertical="center" textRotation="90"/>
    </xf>
    <xf numFmtId="0" fontId="12" fillId="33" borderId="28" xfId="0" applyFont="1" applyFill="1" applyBorder="1" applyAlignment="1">
      <alignment horizontal="center" vertical="center" textRotation="90"/>
    </xf>
    <xf numFmtId="0" fontId="12" fillId="33" borderId="28" xfId="0" applyFont="1" applyFill="1" applyBorder="1" applyAlignment="1">
      <alignment horizontal="center" vertical="center" textRotation="90" wrapText="1"/>
    </xf>
    <xf numFmtId="0" fontId="14" fillId="38" borderId="0" xfId="0" applyFont="1" applyFill="1" applyAlignment="1">
      <alignment horizontal="center" vertical="center"/>
    </xf>
    <xf numFmtId="0" fontId="15" fillId="38" borderId="0" xfId="0" applyFont="1" applyFill="1" applyAlignment="1">
      <alignment horizontal="center" vertical="center"/>
    </xf>
    <xf numFmtId="0" fontId="40" fillId="29" borderId="1" xfId="0" applyFont="1" applyFill="1" applyBorder="1" applyAlignment="1">
      <alignment horizontal="center" vertical="center"/>
    </xf>
    <xf numFmtId="0" fontId="40" fillId="29" borderId="18" xfId="0" applyFont="1" applyFill="1" applyBorder="1" applyAlignment="1">
      <alignment horizontal="center" vertical="center"/>
    </xf>
    <xf numFmtId="0" fontId="35" fillId="28" borderId="78" xfId="0" applyFont="1" applyFill="1" applyBorder="1" applyAlignment="1">
      <alignment horizontal="center" vertical="center" wrapText="1"/>
    </xf>
    <xf numFmtId="1" fontId="29" fillId="38" borderId="0" xfId="0" applyNumberFormat="1" applyFont="1" applyFill="1" applyAlignment="1">
      <alignment horizontal="center" vertical="center"/>
    </xf>
    <xf numFmtId="0" fontId="0" fillId="38" borderId="0" xfId="0" applyFill="1" applyAlignment="1">
      <alignment horizontal="center"/>
    </xf>
    <xf numFmtId="0" fontId="0" fillId="38" borderId="0" xfId="0" quotePrefix="1" applyFill="1" applyAlignment="1">
      <alignment horizontal="center" vertical="center"/>
    </xf>
    <xf numFmtId="0" fontId="0" fillId="38" borderId="0" xfId="0" applyFill="1" applyAlignment="1">
      <alignment vertical="center"/>
    </xf>
    <xf numFmtId="0" fontId="76" fillId="33" borderId="106" xfId="0" applyFont="1" applyFill="1" applyBorder="1" applyAlignment="1">
      <alignment horizontal="center"/>
    </xf>
    <xf numFmtId="0" fontId="76" fillId="33" borderId="107" xfId="0" applyFont="1" applyFill="1" applyBorder="1" applyAlignment="1">
      <alignment horizontal="center"/>
    </xf>
    <xf numFmtId="0" fontId="80" fillId="0" borderId="94" xfId="0" applyFont="1" applyBorder="1" applyAlignment="1">
      <alignment horizontal="center" vertical="center"/>
    </xf>
    <xf numFmtId="0" fontId="79" fillId="0" borderId="94" xfId="0" applyFont="1" applyBorder="1" applyAlignment="1">
      <alignment horizontal="center" vertical="center"/>
    </xf>
    <xf numFmtId="16" fontId="49" fillId="33" borderId="1" xfId="0" applyNumberFormat="1" applyFont="1" applyFill="1" applyBorder="1" applyAlignment="1">
      <alignment horizontal="center" vertical="center"/>
    </xf>
    <xf numFmtId="16" fontId="49" fillId="33" borderId="18" xfId="0" applyNumberFormat="1" applyFont="1" applyFill="1" applyBorder="1" applyAlignment="1">
      <alignment horizontal="center" vertical="center"/>
    </xf>
    <xf numFmtId="16" fontId="49" fillId="33" borderId="63" xfId="0" applyNumberFormat="1" applyFont="1" applyFill="1" applyBorder="1" applyAlignment="1">
      <alignment horizontal="center" vertical="center"/>
    </xf>
    <xf numFmtId="16" fontId="49" fillId="33" borderId="64" xfId="0" applyNumberFormat="1" applyFont="1" applyFill="1" applyBorder="1" applyAlignment="1">
      <alignment horizontal="center" vertical="center"/>
    </xf>
    <xf numFmtId="0" fontId="52" fillId="32" borderId="60" xfId="0" applyFont="1" applyFill="1" applyBorder="1" applyAlignment="1">
      <alignment horizontal="center" vertical="center"/>
    </xf>
    <xf numFmtId="0" fontId="52" fillId="32" borderId="52" xfId="0" applyFont="1" applyFill="1" applyBorder="1" applyAlignment="1">
      <alignment horizontal="center" vertical="center"/>
    </xf>
    <xf numFmtId="0" fontId="52" fillId="32" borderId="53" xfId="0" applyFont="1" applyFill="1" applyBorder="1" applyAlignment="1">
      <alignment horizontal="center" vertical="center"/>
    </xf>
    <xf numFmtId="0" fontId="52" fillId="32" borderId="61" xfId="0" applyFont="1" applyFill="1" applyBorder="1" applyAlignment="1">
      <alignment horizontal="center" vertical="center"/>
    </xf>
    <xf numFmtId="0" fontId="52" fillId="32" borderId="0" xfId="0" applyFont="1" applyFill="1" applyAlignment="1">
      <alignment horizontal="center" vertical="center"/>
    </xf>
    <xf numFmtId="0" fontId="52" fillId="32" borderId="29" xfId="0" applyFont="1" applyFill="1" applyBorder="1" applyAlignment="1">
      <alignment horizontal="center" vertical="center"/>
    </xf>
    <xf numFmtId="0" fontId="52" fillId="32" borderId="62" xfId="0" applyFont="1" applyFill="1" applyBorder="1" applyAlignment="1">
      <alignment horizontal="center" vertical="center"/>
    </xf>
    <xf numFmtId="0" fontId="52" fillId="32" borderId="38" xfId="0" applyFont="1" applyFill="1" applyBorder="1" applyAlignment="1">
      <alignment horizontal="center" vertical="center"/>
    </xf>
    <xf numFmtId="0" fontId="52" fillId="32" borderId="30" xfId="0" applyFont="1" applyFill="1" applyBorder="1" applyAlignment="1">
      <alignment horizontal="center" vertical="center"/>
    </xf>
    <xf numFmtId="0" fontId="52" fillId="32" borderId="51" xfId="0" applyFont="1" applyFill="1" applyBorder="1" applyAlignment="1">
      <alignment horizontal="center" vertical="center"/>
    </xf>
    <xf numFmtId="0" fontId="52" fillId="32" borderId="23" xfId="0" applyFont="1" applyFill="1" applyBorder="1" applyAlignment="1">
      <alignment horizontal="center" vertical="center"/>
    </xf>
    <xf numFmtId="0" fontId="52" fillId="32" borderId="31" xfId="0" applyFont="1" applyFill="1" applyBorder="1" applyAlignment="1">
      <alignment horizontal="center" vertical="center"/>
    </xf>
    <xf numFmtId="0" fontId="52" fillId="32" borderId="50" xfId="0" applyFont="1" applyFill="1" applyBorder="1" applyAlignment="1">
      <alignment horizontal="center" vertical="center"/>
    </xf>
    <xf numFmtId="0" fontId="52" fillId="32" borderId="40" xfId="0" applyFont="1" applyFill="1" applyBorder="1" applyAlignment="1">
      <alignment horizontal="center" vertical="center"/>
    </xf>
    <xf numFmtId="0" fontId="52" fillId="32" borderId="54" xfId="0" applyFont="1" applyFill="1" applyBorder="1" applyAlignment="1">
      <alignment horizontal="center" vertical="center"/>
    </xf>
    <xf numFmtId="0" fontId="52" fillId="32" borderId="71" xfId="0" applyFont="1" applyFill="1" applyBorder="1" applyAlignment="1">
      <alignment horizontal="center" vertical="center"/>
    </xf>
    <xf numFmtId="0" fontId="52" fillId="32" borderId="72" xfId="0" applyFont="1" applyFill="1" applyBorder="1" applyAlignment="1">
      <alignment horizontal="center" vertical="center"/>
    </xf>
    <xf numFmtId="0" fontId="52" fillId="32" borderId="80" xfId="0" applyFont="1" applyFill="1" applyBorder="1" applyAlignment="1">
      <alignment horizontal="center" vertical="center"/>
    </xf>
    <xf numFmtId="16" fontId="49" fillId="33" borderId="7" xfId="0" applyNumberFormat="1" applyFont="1" applyFill="1" applyBorder="1" applyAlignment="1">
      <alignment horizontal="center" vertical="center"/>
    </xf>
    <xf numFmtId="16" fontId="49" fillId="33" borderId="19" xfId="0" applyNumberFormat="1" applyFont="1" applyFill="1" applyBorder="1" applyAlignment="1">
      <alignment horizontal="center" vertical="center"/>
    </xf>
    <xf numFmtId="0" fontId="50" fillId="32" borderId="60" xfId="0" applyFont="1" applyFill="1" applyBorder="1" applyAlignment="1">
      <alignment horizontal="center" vertical="center" textRotation="90" wrapText="1"/>
    </xf>
    <xf numFmtId="0" fontId="50" fillId="32" borderId="61" xfId="0" applyFont="1" applyFill="1" applyBorder="1" applyAlignment="1">
      <alignment horizontal="center" vertical="center" textRotation="90" wrapText="1"/>
    </xf>
    <xf numFmtId="0" fontId="50" fillId="32" borderId="62" xfId="0" applyFont="1" applyFill="1" applyBorder="1" applyAlignment="1">
      <alignment horizontal="center" vertical="center" textRotation="90" wrapText="1"/>
    </xf>
    <xf numFmtId="0" fontId="50" fillId="32" borderId="60" xfId="0" applyFont="1" applyFill="1" applyBorder="1" applyAlignment="1">
      <alignment horizontal="center" vertical="center" textRotation="90"/>
    </xf>
    <xf numFmtId="0" fontId="50" fillId="32" borderId="61" xfId="0" applyFont="1" applyFill="1" applyBorder="1" applyAlignment="1">
      <alignment horizontal="center" vertical="center" textRotation="90"/>
    </xf>
    <xf numFmtId="0" fontId="50" fillId="32" borderId="62" xfId="0" applyFont="1" applyFill="1" applyBorder="1" applyAlignment="1">
      <alignment horizontal="center" vertical="center" textRotation="90"/>
    </xf>
    <xf numFmtId="0" fontId="51" fillId="32" borderId="79" xfId="0" applyFont="1" applyFill="1" applyBorder="1" applyAlignment="1">
      <alignment horizontal="center" vertical="center"/>
    </xf>
    <xf numFmtId="0" fontId="52" fillId="32" borderId="77" xfId="0" applyFont="1" applyFill="1" applyBorder="1" applyAlignment="1">
      <alignment horizontal="center" vertical="center"/>
    </xf>
    <xf numFmtId="0" fontId="52" fillId="32" borderId="78" xfId="0" applyFont="1" applyFill="1" applyBorder="1" applyAlignment="1">
      <alignment horizontal="center" vertical="center"/>
    </xf>
    <xf numFmtId="0" fontId="52" fillId="32" borderId="49" xfId="0" applyFont="1" applyFill="1" applyBorder="1" applyAlignment="1">
      <alignment horizontal="center" vertical="center"/>
    </xf>
    <xf numFmtId="0" fontId="52" fillId="32" borderId="18" xfId="0" applyFont="1" applyFill="1" applyBorder="1" applyAlignment="1">
      <alignment horizontal="center" vertical="center"/>
    </xf>
    <xf numFmtId="0" fontId="47" fillId="29" borderId="52" xfId="0" applyFont="1" applyFill="1" applyBorder="1" applyAlignment="1">
      <alignment horizontal="center"/>
    </xf>
    <xf numFmtId="0" fontId="47" fillId="29" borderId="0" xfId="0" applyFont="1" applyFill="1" applyAlignment="1">
      <alignment horizontal="center"/>
    </xf>
    <xf numFmtId="0" fontId="61" fillId="32" borderId="60" xfId="0" applyFont="1" applyFill="1" applyBorder="1" applyAlignment="1">
      <alignment horizontal="center" vertical="center" wrapText="1"/>
    </xf>
    <xf numFmtId="0" fontId="61" fillId="32" borderId="53" xfId="0" applyFont="1" applyFill="1" applyBorder="1" applyAlignment="1">
      <alignment horizontal="center" vertical="center" wrapText="1"/>
    </xf>
    <xf numFmtId="0" fontId="61" fillId="32" borderId="61" xfId="0" applyFont="1" applyFill="1" applyBorder="1" applyAlignment="1">
      <alignment horizontal="center" vertical="center" wrapText="1"/>
    </xf>
    <xf numFmtId="0" fontId="61" fillId="32" borderId="29" xfId="0" applyFont="1" applyFill="1" applyBorder="1" applyAlignment="1">
      <alignment horizontal="center" vertical="center" wrapText="1"/>
    </xf>
    <xf numFmtId="0" fontId="62" fillId="32" borderId="52" xfId="0" applyFont="1" applyFill="1" applyBorder="1" applyAlignment="1">
      <alignment horizontal="left" wrapText="1"/>
    </xf>
    <xf numFmtId="0" fontId="62" fillId="32" borderId="0" xfId="0" applyFont="1" applyFill="1" applyAlignment="1">
      <alignment horizontal="left" wrapText="1"/>
    </xf>
    <xf numFmtId="0" fontId="62" fillId="32" borderId="82" xfId="0" applyFont="1" applyFill="1" applyBorder="1" applyAlignment="1">
      <alignment horizontal="left" wrapText="1"/>
    </xf>
    <xf numFmtId="0" fontId="62" fillId="32" borderId="83" xfId="0" applyFont="1" applyFill="1" applyBorder="1" applyAlignment="1">
      <alignment horizontal="left" wrapText="1"/>
    </xf>
    <xf numFmtId="0" fontId="46" fillId="32" borderId="26" xfId="0" applyFont="1" applyFill="1" applyBorder="1" applyAlignment="1">
      <alignment horizontal="center" vertical="center" textRotation="90" wrapText="1"/>
    </xf>
    <xf numFmtId="0" fontId="46" fillId="32" borderId="27" xfId="0" applyFont="1" applyFill="1" applyBorder="1" applyAlignment="1">
      <alignment horizontal="center" vertical="center" textRotation="90" wrapText="1"/>
    </xf>
    <xf numFmtId="0" fontId="46" fillId="32" borderId="28" xfId="0" applyFont="1" applyFill="1" applyBorder="1" applyAlignment="1">
      <alignment horizontal="center" vertical="center" textRotation="90" wrapText="1"/>
    </xf>
    <xf numFmtId="0" fontId="41" fillId="32" borderId="79" xfId="0" applyFont="1" applyFill="1" applyBorder="1" applyAlignment="1">
      <alignment horizontal="center" vertical="center"/>
    </xf>
    <xf numFmtId="0" fontId="46" fillId="32" borderId="62" xfId="0" applyFont="1" applyFill="1" applyBorder="1" applyAlignment="1">
      <alignment horizontal="center" vertical="center" textRotation="90"/>
    </xf>
    <xf numFmtId="0" fontId="46" fillId="32" borderId="30" xfId="0" applyFont="1" applyFill="1" applyBorder="1" applyAlignment="1">
      <alignment horizontal="center" vertical="center" textRotation="90"/>
    </xf>
    <xf numFmtId="0" fontId="52" fillId="32" borderId="42" xfId="0" applyFont="1" applyFill="1" applyBorder="1" applyAlignment="1">
      <alignment horizontal="center" vertical="center"/>
    </xf>
    <xf numFmtId="0" fontId="52" fillId="32" borderId="79" xfId="0" applyFont="1" applyFill="1" applyBorder="1" applyAlignment="1">
      <alignment horizontal="center" vertical="center"/>
    </xf>
    <xf numFmtId="0" fontId="52" fillId="32" borderId="20" xfId="0" applyFont="1" applyFill="1" applyBorder="1" applyAlignment="1">
      <alignment horizontal="center" vertical="center"/>
    </xf>
    <xf numFmtId="0" fontId="52" fillId="32" borderId="22" xfId="0" applyFont="1" applyFill="1" applyBorder="1" applyAlignment="1">
      <alignment horizontal="center" vertical="center"/>
    </xf>
    <xf numFmtId="16" fontId="49" fillId="33" borderId="36" xfId="0" applyNumberFormat="1" applyFont="1" applyFill="1" applyBorder="1" applyAlignment="1">
      <alignment horizontal="center" vertical="center"/>
    </xf>
    <xf numFmtId="16" fontId="49" fillId="33" borderId="32" xfId="0" applyNumberFormat="1" applyFont="1" applyFill="1" applyBorder="1" applyAlignment="1">
      <alignment horizontal="center" vertical="center"/>
    </xf>
    <xf numFmtId="0" fontId="60" fillId="32" borderId="60" xfId="0" applyFont="1" applyFill="1" applyBorder="1" applyAlignment="1">
      <alignment horizontal="center" vertical="center" wrapText="1"/>
    </xf>
    <xf numFmtId="0" fontId="60" fillId="32" borderId="53" xfId="0" applyFont="1" applyFill="1" applyBorder="1" applyAlignment="1">
      <alignment horizontal="center" vertical="center" wrapText="1"/>
    </xf>
    <xf numFmtId="0" fontId="60" fillId="32" borderId="61" xfId="0" applyFont="1" applyFill="1" applyBorder="1" applyAlignment="1">
      <alignment horizontal="center" vertical="center" wrapText="1"/>
    </xf>
    <xf numFmtId="0" fontId="60" fillId="32" borderId="29" xfId="0" applyFont="1" applyFill="1" applyBorder="1" applyAlignment="1">
      <alignment horizontal="center" vertical="center" wrapText="1"/>
    </xf>
    <xf numFmtId="0" fontId="60" fillId="32" borderId="62" xfId="0" applyFont="1" applyFill="1" applyBorder="1" applyAlignment="1">
      <alignment horizontal="center" vertical="center" wrapText="1"/>
    </xf>
    <xf numFmtId="0" fontId="60" fillId="32" borderId="30" xfId="0" applyFont="1" applyFill="1" applyBorder="1" applyAlignment="1">
      <alignment horizontal="center" vertical="center" wrapText="1"/>
    </xf>
    <xf numFmtId="0" fontId="56" fillId="32" borderId="52" xfId="0" applyFont="1" applyFill="1" applyBorder="1" applyAlignment="1">
      <alignment horizontal="center" vertical="center" wrapText="1"/>
    </xf>
    <xf numFmtId="0" fontId="56" fillId="32" borderId="53" xfId="0" applyFont="1" applyFill="1" applyBorder="1" applyAlignment="1">
      <alignment horizontal="center" vertical="center" wrapText="1"/>
    </xf>
    <xf numFmtId="0" fontId="56" fillId="32" borderId="0" xfId="0" applyFont="1" applyFill="1" applyAlignment="1">
      <alignment horizontal="center" vertical="center" wrapText="1"/>
    </xf>
    <xf numFmtId="0" fontId="56" fillId="32" borderId="29" xfId="0" applyFont="1" applyFill="1" applyBorder="1" applyAlignment="1">
      <alignment horizontal="center" vertical="center" wrapText="1"/>
    </xf>
    <xf numFmtId="0" fontId="56" fillId="32" borderId="43" xfId="0" applyFont="1" applyFill="1" applyBorder="1" applyAlignment="1">
      <alignment horizontal="center" vertical="center" wrapText="1"/>
    </xf>
    <xf numFmtId="0" fontId="56" fillId="32" borderId="49" xfId="0" applyFont="1" applyFill="1" applyBorder="1" applyAlignment="1">
      <alignment horizontal="center" vertical="center" wrapText="1"/>
    </xf>
    <xf numFmtId="0" fontId="56" fillId="32" borderId="76" xfId="0" applyFont="1" applyFill="1" applyBorder="1" applyAlignment="1">
      <alignment horizontal="center" vertical="center" wrapText="1"/>
    </xf>
    <xf numFmtId="0" fontId="56" fillId="32" borderId="36" xfId="0" applyFont="1" applyFill="1" applyBorder="1" applyAlignment="1">
      <alignment horizontal="center" vertical="center" wrapText="1"/>
    </xf>
    <xf numFmtId="0" fontId="56" fillId="32" borderId="1" xfId="0" applyFont="1" applyFill="1" applyBorder="1" applyAlignment="1">
      <alignment horizontal="center" vertical="center" wrapText="1"/>
    </xf>
    <xf numFmtId="0" fontId="56" fillId="32" borderId="63" xfId="0" applyFont="1" applyFill="1" applyBorder="1" applyAlignment="1">
      <alignment horizontal="center" vertical="center" wrapText="1"/>
    </xf>
    <xf numFmtId="0" fontId="46" fillId="32" borderId="27" xfId="0" applyFont="1" applyFill="1" applyBorder="1" applyAlignment="1">
      <alignment horizontal="center" vertical="center" textRotation="90"/>
    </xf>
    <xf numFmtId="0" fontId="46" fillId="32" borderId="28" xfId="0" applyFont="1" applyFill="1" applyBorder="1" applyAlignment="1">
      <alignment horizontal="center" vertical="center" textRotation="90"/>
    </xf>
    <xf numFmtId="0" fontId="50" fillId="32" borderId="27" xfId="0" applyFont="1" applyFill="1" applyBorder="1" applyAlignment="1">
      <alignment horizontal="center" vertical="center" textRotation="90" wrapText="1"/>
    </xf>
    <xf numFmtId="0" fontId="50" fillId="32" borderId="28" xfId="0" applyFont="1" applyFill="1" applyBorder="1" applyAlignment="1">
      <alignment horizontal="center" vertical="center" textRotation="90" wrapText="1"/>
    </xf>
    <xf numFmtId="0" fontId="79" fillId="0" borderId="123" xfId="0" applyFont="1" applyBorder="1" applyAlignment="1">
      <alignment horizontal="center" vertical="center"/>
    </xf>
    <xf numFmtId="0" fontId="79" fillId="0" borderId="102" xfId="0" applyFont="1" applyBorder="1" applyAlignment="1">
      <alignment horizontal="center" vertical="center"/>
    </xf>
    <xf numFmtId="0" fontId="79" fillId="0" borderId="10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2" borderId="48" xfId="0" applyFont="1" applyFill="1" applyBorder="1" applyAlignment="1">
      <alignment horizontal="center" vertical="center" textRotation="255"/>
    </xf>
    <xf numFmtId="0" fontId="10" fillId="2" borderId="0" xfId="0" applyFont="1" applyFill="1" applyAlignment="1">
      <alignment horizontal="center" vertical="center" textRotation="255"/>
    </xf>
    <xf numFmtId="0" fontId="21" fillId="24" borderId="1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7" fillId="22" borderId="5" xfId="0" applyFont="1" applyFill="1" applyBorder="1" applyAlignment="1">
      <alignment horizontal="center" vertical="center" wrapText="1"/>
    </xf>
    <xf numFmtId="0" fontId="17" fillId="22" borderId="6" xfId="0" applyFont="1" applyFill="1" applyBorder="1" applyAlignment="1">
      <alignment horizontal="center" vertical="center" wrapText="1"/>
    </xf>
    <xf numFmtId="0" fontId="17" fillId="22" borderId="7" xfId="0" applyFont="1" applyFill="1" applyBorder="1" applyAlignment="1">
      <alignment horizontal="center" vertical="center" wrapText="1"/>
    </xf>
    <xf numFmtId="0" fontId="6" fillId="17" borderId="94" xfId="18" applyFont="1" applyFill="1" applyBorder="1" applyAlignment="1">
      <alignment horizontal="right" vertical="center" wrapText="1"/>
    </xf>
    <xf numFmtId="0" fontId="59" fillId="17" borderId="94" xfId="21" applyFont="1" applyFill="1" applyBorder="1" applyAlignment="1">
      <alignment horizontal="center" vertical="center"/>
    </xf>
    <xf numFmtId="0" fontId="59" fillId="17" borderId="60" xfId="21" applyFont="1" applyFill="1" applyBorder="1" applyAlignment="1">
      <alignment horizontal="center" vertical="center"/>
    </xf>
    <xf numFmtId="0" fontId="59" fillId="17" borderId="61" xfId="21" applyFont="1" applyFill="1" applyBorder="1" applyAlignment="1">
      <alignment horizontal="center" vertical="center"/>
    </xf>
    <xf numFmtId="0" fontId="59" fillId="17" borderId="62" xfId="21" applyFont="1" applyFill="1" applyBorder="1" applyAlignment="1">
      <alignment horizontal="center" vertical="center"/>
    </xf>
    <xf numFmtId="0" fontId="6" fillId="17" borderId="94" xfId="18" applyFont="1" applyFill="1" applyBorder="1" applyAlignment="1">
      <alignment horizontal="right" vertical="center"/>
    </xf>
    <xf numFmtId="14" fontId="6" fillId="17" borderId="94" xfId="14" applyFont="1" applyFill="1" applyBorder="1" applyAlignment="1">
      <alignment horizontal="center" vertical="center" wrapText="1"/>
    </xf>
    <xf numFmtId="0" fontId="0" fillId="17" borderId="94" xfId="0" applyFill="1" applyBorder="1" applyAlignment="1">
      <alignment horizontal="center" wrapText="1"/>
    </xf>
    <xf numFmtId="0" fontId="9" fillId="17" borderId="94" xfId="19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67" fillId="0" borderId="48" xfId="23" applyFont="1" applyBorder="1" applyAlignment="1">
      <alignment horizontal="left"/>
    </xf>
    <xf numFmtId="0" fontId="67" fillId="0" borderId="89" xfId="23" applyFont="1" applyBorder="1" applyAlignment="1">
      <alignment horizontal="left"/>
    </xf>
    <xf numFmtId="0" fontId="65" fillId="0" borderId="2" xfId="23" applyFont="1" applyBorder="1" applyAlignment="1">
      <alignment horizontal="center" vertical="top"/>
    </xf>
    <xf numFmtId="0" fontId="65" fillId="0" borderId="4" xfId="23" applyFont="1" applyBorder="1" applyAlignment="1">
      <alignment horizontal="center" vertical="top"/>
    </xf>
    <xf numFmtId="0" fontId="65" fillId="0" borderId="22" xfId="23" applyFont="1" applyBorder="1" applyAlignment="1">
      <alignment horizontal="center" vertical="top"/>
    </xf>
    <xf numFmtId="0" fontId="65" fillId="0" borderId="74" xfId="23" applyFont="1" applyBorder="1" applyAlignment="1">
      <alignment horizontal="center" vertical="top"/>
    </xf>
    <xf numFmtId="0" fontId="65" fillId="0" borderId="72" xfId="23" applyFont="1" applyBorder="1" applyAlignment="1">
      <alignment horizontal="center" vertical="top"/>
    </xf>
    <xf numFmtId="0" fontId="65" fillId="0" borderId="80" xfId="23" applyFont="1" applyBorder="1" applyAlignment="1">
      <alignment horizontal="center" vertical="top"/>
    </xf>
    <xf numFmtId="0" fontId="64" fillId="0" borderId="61" xfId="23" applyBorder="1" applyAlignment="1">
      <alignment horizontal="center"/>
    </xf>
    <xf numFmtId="0" fontId="64" fillId="0" borderId="0" xfId="23" applyAlignment="1">
      <alignment horizontal="center"/>
    </xf>
    <xf numFmtId="0" fontId="64" fillId="0" borderId="23" xfId="23" applyBorder="1" applyAlignment="1">
      <alignment horizontal="center"/>
    </xf>
    <xf numFmtId="0" fontId="64" fillId="0" borderId="62" xfId="23" applyBorder="1" applyAlignment="1">
      <alignment horizontal="center"/>
    </xf>
    <xf numFmtId="0" fontId="64" fillId="0" borderId="38" xfId="23" applyBorder="1" applyAlignment="1">
      <alignment horizontal="center"/>
    </xf>
    <xf numFmtId="0" fontId="64" fillId="0" borderId="31" xfId="23" applyBorder="1" applyAlignment="1">
      <alignment horizontal="center"/>
    </xf>
    <xf numFmtId="0" fontId="67" fillId="0" borderId="2" xfId="23" applyFont="1" applyBorder="1" applyAlignment="1">
      <alignment horizontal="left" vertical="top"/>
    </xf>
    <xf numFmtId="0" fontId="67" fillId="0" borderId="3" xfId="23" applyFont="1" applyBorder="1" applyAlignment="1">
      <alignment horizontal="left" vertical="top"/>
    </xf>
    <xf numFmtId="0" fontId="64" fillId="0" borderId="26" xfId="23" applyBorder="1" applyAlignment="1">
      <alignment horizontal="center" vertical="center"/>
    </xf>
    <xf numFmtId="0" fontId="64" fillId="0" borderId="27" xfId="23" applyBorder="1" applyAlignment="1">
      <alignment horizontal="center" vertical="center"/>
    </xf>
    <xf numFmtId="0" fontId="64" fillId="0" borderId="28" xfId="23" applyBorder="1" applyAlignment="1">
      <alignment horizontal="center" vertical="center"/>
    </xf>
    <xf numFmtId="0" fontId="72" fillId="0" borderId="52" xfId="23" applyFont="1" applyBorder="1" applyAlignment="1">
      <alignment horizontal="center" vertical="center"/>
    </xf>
    <xf numFmtId="0" fontId="72" fillId="0" borderId="51" xfId="23" applyFont="1" applyBorder="1" applyAlignment="1">
      <alignment horizontal="center" vertical="center"/>
    </xf>
    <xf numFmtId="0" fontId="72" fillId="0" borderId="0" xfId="23" applyFont="1" applyAlignment="1">
      <alignment horizontal="center" vertical="center"/>
    </xf>
    <xf numFmtId="0" fontId="72" fillId="0" borderId="23" xfId="23" applyFont="1" applyBorder="1" applyAlignment="1">
      <alignment horizontal="center" vertical="center"/>
    </xf>
    <xf numFmtId="0" fontId="72" fillId="0" borderId="38" xfId="23" applyFont="1" applyBorder="1" applyAlignment="1">
      <alignment horizontal="center" vertical="center"/>
    </xf>
    <xf numFmtId="0" fontId="72" fillId="0" borderId="31" xfId="23" applyFont="1" applyBorder="1" applyAlignment="1">
      <alignment horizontal="center" vertical="center"/>
    </xf>
    <xf numFmtId="0" fontId="64" fillId="0" borderId="71" xfId="23" applyBorder="1" applyAlignment="1">
      <alignment horizontal="center"/>
    </xf>
    <xf numFmtId="0" fontId="64" fillId="0" borderId="73" xfId="23" applyBorder="1" applyAlignment="1">
      <alignment horizontal="center"/>
    </xf>
    <xf numFmtId="0" fontId="69" fillId="0" borderId="93" xfId="23" applyFont="1" applyBorder="1" applyAlignment="1">
      <alignment horizontal="center" vertical="center"/>
    </xf>
    <xf numFmtId="0" fontId="69" fillId="0" borderId="92" xfId="23" applyFont="1" applyBorder="1" applyAlignment="1">
      <alignment horizontal="center" vertical="center"/>
    </xf>
    <xf numFmtId="0" fontId="69" fillId="0" borderId="91" xfId="23" applyFont="1" applyBorder="1" applyAlignment="1">
      <alignment horizontal="center" vertical="center"/>
    </xf>
    <xf numFmtId="0" fontId="67" fillId="0" borderId="88" xfId="23" applyFont="1" applyBorder="1" applyAlignment="1">
      <alignment horizontal="left" vertical="top" wrapText="1"/>
    </xf>
    <xf numFmtId="0" fontId="67" fillId="0" borderId="48" xfId="23" applyFont="1" applyBorder="1" applyAlignment="1">
      <alignment horizontal="left" vertical="top" wrapText="1"/>
    </xf>
    <xf numFmtId="0" fontId="67" fillId="0" borderId="89" xfId="23" applyFont="1" applyBorder="1" applyAlignment="1">
      <alignment horizontal="left" vertical="top" wrapText="1"/>
    </xf>
    <xf numFmtId="0" fontId="67" fillId="0" borderId="62" xfId="23" applyFont="1" applyBorder="1" applyAlignment="1">
      <alignment horizontal="left" vertical="top" wrapText="1"/>
    </xf>
    <xf numFmtId="0" fontId="67" fillId="0" borderId="38" xfId="23" applyFont="1" applyBorder="1" applyAlignment="1">
      <alignment horizontal="left" vertical="top" wrapText="1"/>
    </xf>
    <xf numFmtId="0" fontId="67" fillId="0" borderId="30" xfId="23" applyFont="1" applyBorder="1" applyAlignment="1">
      <alignment horizontal="left" vertical="top" wrapText="1"/>
    </xf>
    <xf numFmtId="0" fontId="72" fillId="0" borderId="60" xfId="23" applyFont="1" applyBorder="1" applyAlignment="1">
      <alignment horizontal="center" vertical="center"/>
    </xf>
    <xf numFmtId="0" fontId="72" fillId="0" borderId="61" xfId="23" applyFont="1" applyBorder="1" applyAlignment="1">
      <alignment horizontal="center" vertical="center"/>
    </xf>
    <xf numFmtId="0" fontId="72" fillId="0" borderId="62" xfId="23" applyFont="1" applyBorder="1" applyAlignment="1">
      <alignment horizontal="center" vertical="center"/>
    </xf>
    <xf numFmtId="0" fontId="64" fillId="0" borderId="62" xfId="23" applyBorder="1" applyAlignment="1">
      <alignment horizontal="left" wrapText="1"/>
    </xf>
    <xf numFmtId="0" fontId="64" fillId="0" borderId="38" xfId="23" applyBorder="1" applyAlignment="1">
      <alignment horizontal="left"/>
    </xf>
    <xf numFmtId="0" fontId="64" fillId="0" borderId="30" xfId="23" applyBorder="1" applyAlignment="1">
      <alignment horizontal="left"/>
    </xf>
    <xf numFmtId="0" fontId="73" fillId="0" borderId="27" xfId="23" applyFont="1" applyBorder="1" applyAlignment="1">
      <alignment horizontal="center"/>
    </xf>
    <xf numFmtId="0" fontId="64" fillId="0" borderId="28" xfId="23" applyBorder="1" applyAlignment="1">
      <alignment horizontal="center"/>
    </xf>
    <xf numFmtId="0" fontId="67" fillId="0" borderId="61" xfId="23" applyFont="1" applyBorder="1" applyAlignment="1">
      <alignment horizontal="center"/>
    </xf>
    <xf numFmtId="0" fontId="64" fillId="0" borderId="29" xfId="23" applyBorder="1" applyAlignment="1">
      <alignment horizontal="center"/>
    </xf>
    <xf numFmtId="0" fontId="64" fillId="0" borderId="30" xfId="23" applyBorder="1" applyAlignment="1">
      <alignment horizontal="center"/>
    </xf>
    <xf numFmtId="0" fontId="73" fillId="0" borderId="38" xfId="23" applyFont="1" applyBorder="1" applyAlignment="1">
      <alignment horizontal="center"/>
    </xf>
    <xf numFmtId="0" fontId="73" fillId="0" borderId="31" xfId="23" applyFont="1" applyBorder="1" applyAlignment="1">
      <alignment horizontal="center"/>
    </xf>
    <xf numFmtId="0" fontId="73" fillId="0" borderId="0" xfId="23" applyFont="1" applyAlignment="1">
      <alignment horizontal="center"/>
    </xf>
    <xf numFmtId="0" fontId="73" fillId="0" borderId="62" xfId="23" applyFont="1" applyBorder="1" applyAlignment="1">
      <alignment horizontal="center"/>
    </xf>
    <xf numFmtId="0" fontId="73" fillId="0" borderId="61" xfId="23" applyFont="1" applyBorder="1" applyAlignment="1">
      <alignment horizontal="center"/>
    </xf>
    <xf numFmtId="0" fontId="65" fillId="0" borderId="2" xfId="23" applyFont="1" applyBorder="1" applyAlignment="1">
      <alignment horizontal="center" vertical="top" wrapText="1"/>
    </xf>
    <xf numFmtId="0" fontId="66" fillId="0" borderId="61" xfId="23" applyFont="1" applyBorder="1" applyAlignment="1">
      <alignment horizontal="center"/>
    </xf>
    <xf numFmtId="0" fontId="73" fillId="0" borderId="62" xfId="23" applyFont="1" applyBorder="1" applyAlignment="1">
      <alignment horizontal="left"/>
    </xf>
    <xf numFmtId="0" fontId="61" fillId="38" borderId="52" xfId="0" applyFont="1" applyFill="1" applyBorder="1" applyAlignment="1">
      <alignment horizontal="center" vertical="center" wrapText="1"/>
    </xf>
    <xf numFmtId="0" fontId="61" fillId="38" borderId="0" xfId="0" applyFont="1" applyFill="1" applyAlignment="1">
      <alignment horizontal="center" vertical="center" wrapText="1"/>
    </xf>
    <xf numFmtId="0" fontId="47" fillId="38" borderId="0" xfId="0" applyFont="1" applyFill="1" applyAlignment="1">
      <alignment horizontal="center"/>
    </xf>
    <xf numFmtId="0" fontId="51" fillId="38" borderId="0" xfId="0" applyFont="1" applyFill="1" applyAlignment="1">
      <alignment horizontal="center" vertical="center"/>
    </xf>
    <xf numFmtId="0" fontId="47" fillId="34" borderId="124" xfId="0" applyFont="1" applyFill="1" applyBorder="1" applyAlignment="1">
      <alignment horizontal="center"/>
    </xf>
    <xf numFmtId="0" fontId="47" fillId="34" borderId="125" xfId="0" applyFont="1" applyFill="1" applyBorder="1" applyAlignment="1">
      <alignment horizontal="center"/>
    </xf>
    <xf numFmtId="0" fontId="47" fillId="34" borderId="126" xfId="0" applyFont="1" applyFill="1" applyBorder="1" applyAlignment="1">
      <alignment horizontal="center"/>
    </xf>
    <xf numFmtId="0" fontId="56" fillId="32" borderId="35" xfId="0" applyFont="1" applyFill="1" applyBorder="1" applyAlignment="1">
      <alignment horizontal="center" vertical="center" wrapText="1"/>
    </xf>
    <xf numFmtId="0" fontId="56" fillId="32" borderId="2" xfId="0" applyFont="1" applyFill="1" applyBorder="1" applyAlignment="1">
      <alignment horizontal="center" vertical="center" wrapText="1"/>
    </xf>
    <xf numFmtId="0" fontId="56" fillId="32" borderId="74" xfId="0" applyFont="1" applyFill="1" applyBorder="1" applyAlignment="1">
      <alignment horizontal="center" vertical="center" wrapText="1"/>
    </xf>
    <xf numFmtId="0" fontId="56" fillId="32" borderId="0" xfId="0" applyFont="1" applyFill="1" applyBorder="1" applyAlignment="1">
      <alignment horizontal="center" vertical="center" wrapText="1"/>
    </xf>
    <xf numFmtId="0" fontId="46" fillId="32" borderId="61" xfId="0" applyFont="1" applyFill="1" applyBorder="1" applyAlignment="1">
      <alignment horizontal="center" vertical="center" textRotation="90"/>
    </xf>
    <xf numFmtId="0" fontId="46" fillId="32" borderId="29" xfId="0" applyFont="1" applyFill="1" applyBorder="1" applyAlignment="1">
      <alignment horizontal="center" vertical="center" textRotation="90"/>
    </xf>
    <xf numFmtId="0" fontId="41" fillId="32" borderId="127" xfId="0" applyFont="1" applyFill="1" applyBorder="1" applyAlignment="1">
      <alignment horizontal="center" vertical="center"/>
    </xf>
    <xf numFmtId="0" fontId="51" fillId="32" borderId="95" xfId="0" applyFont="1" applyFill="1" applyBorder="1" applyAlignment="1">
      <alignment horizontal="center" vertical="center"/>
    </xf>
    <xf numFmtId="0" fontId="51" fillId="32" borderId="22" xfId="0" applyFont="1" applyFill="1" applyBorder="1" applyAlignment="1">
      <alignment horizontal="center" vertical="center"/>
    </xf>
    <xf numFmtId="0" fontId="51" fillId="32" borderId="80" xfId="0" applyFont="1" applyFill="1" applyBorder="1" applyAlignment="1">
      <alignment horizontal="center" vertical="center"/>
    </xf>
    <xf numFmtId="0" fontId="51" fillId="32" borderId="127" xfId="0" applyFont="1" applyFill="1" applyBorder="1" applyAlignment="1">
      <alignment horizontal="center" vertical="center"/>
    </xf>
    <xf numFmtId="1" fontId="44" fillId="29" borderId="3" xfId="0" applyNumberFormat="1" applyFont="1" applyFill="1" applyBorder="1" applyAlignment="1">
      <alignment horizontal="center" vertical="center" wrapText="1"/>
    </xf>
    <xf numFmtId="1" fontId="44" fillId="29" borderId="1" xfId="0" applyNumberFormat="1" applyFont="1" applyFill="1" applyBorder="1" applyAlignment="1">
      <alignment horizontal="center" vertical="center" wrapText="1"/>
    </xf>
    <xf numFmtId="1" fontId="44" fillId="28" borderId="1" xfId="0" applyNumberFormat="1" applyFont="1" applyFill="1" applyBorder="1" applyAlignment="1">
      <alignment horizontal="center" vertical="center" wrapText="1"/>
    </xf>
    <xf numFmtId="1" fontId="44" fillId="31" borderId="1" xfId="0" applyNumberFormat="1" applyFont="1" applyFill="1" applyBorder="1" applyAlignment="1">
      <alignment horizontal="center" vertical="center" wrapText="1"/>
    </xf>
    <xf numFmtId="1" fontId="44" fillId="38" borderId="1" xfId="0" applyNumberFormat="1" applyFont="1" applyFill="1" applyBorder="1" applyAlignment="1">
      <alignment horizontal="center" vertical="center" wrapText="1"/>
    </xf>
    <xf numFmtId="1" fontId="45" fillId="29" borderId="1" xfId="0" applyNumberFormat="1" applyFont="1" applyFill="1" applyBorder="1" applyAlignment="1">
      <alignment horizontal="center" vertical="center" wrapText="1"/>
    </xf>
    <xf numFmtId="1" fontId="45" fillId="28" borderId="1" xfId="0" applyNumberFormat="1" applyFont="1" applyFill="1" applyBorder="1" applyAlignment="1">
      <alignment horizontal="center" vertical="center" wrapText="1"/>
    </xf>
    <xf numFmtId="1" fontId="44" fillId="29" borderId="2" xfId="0" applyNumberFormat="1" applyFont="1" applyFill="1" applyBorder="1" applyAlignment="1">
      <alignment horizontal="center" vertical="center" wrapText="1"/>
    </xf>
    <xf numFmtId="1" fontId="53" fillId="0" borderId="73" xfId="0" applyNumberFormat="1" applyFont="1" applyBorder="1" applyAlignment="1">
      <alignment horizontal="center" vertical="center"/>
    </xf>
    <xf numFmtId="1" fontId="53" fillId="0" borderId="63" xfId="0" applyNumberFormat="1" applyFont="1" applyBorder="1" applyAlignment="1">
      <alignment horizontal="center" vertical="center"/>
    </xf>
    <xf numFmtId="1" fontId="82" fillId="29" borderId="0" xfId="0" applyNumberFormat="1" applyFont="1" applyFill="1"/>
    <xf numFmtId="3" fontId="44" fillId="29" borderId="3" xfId="22" applyNumberFormat="1" applyFont="1" applyFill="1" applyBorder="1" applyAlignment="1">
      <alignment horizontal="center" vertical="center" wrapText="1"/>
    </xf>
    <xf numFmtId="0" fontId="83" fillId="0" borderId="38" xfId="0" applyFont="1" applyBorder="1"/>
  </cellXfs>
  <cellStyles count="24">
    <cellStyle name="20% - Ênfase1" xfId="6" builtinId="30"/>
    <cellStyle name="20% - Ênfase4" xfId="15" builtinId="42"/>
    <cellStyle name="40% - Ênfase2" xfId="8" builtinId="35"/>
    <cellStyle name="60% - Ênfase3" xfId="10" builtinId="40"/>
    <cellStyle name="60% - Ênfase6" xfId="12" builtinId="52"/>
    <cellStyle name="Data" xfId="14" xr:uid="{00000000-0005-0000-0000-000005000000}"/>
    <cellStyle name="Ênfase1" xfId="5" builtinId="29"/>
    <cellStyle name="Ênfase2" xfId="7" builtinId="33"/>
    <cellStyle name="Ênfase3" xfId="9" builtinId="37"/>
    <cellStyle name="Ênfase4" xfId="11" builtinId="41"/>
    <cellStyle name="Neutro" xfId="3" builtinId="28"/>
    <cellStyle name="Normal" xfId="0" builtinId="0"/>
    <cellStyle name="Normal 2" xfId="4" xr:uid="{00000000-0005-0000-0000-00000E000000}"/>
    <cellStyle name="Normal 3" xfId="23" xr:uid="{5674716E-CF07-4898-AAE8-BA670A83171E}"/>
    <cellStyle name="Porcentagem" xfId="1" builtinId="5"/>
    <cellStyle name="Porcentagem 2" xfId="16" xr:uid="{00000000-0005-0000-0000-000010000000}"/>
    <cellStyle name="Ruim" xfId="2" builtinId="27"/>
    <cellStyle name="Separador de milhares [0] 2" xfId="17" xr:uid="{00000000-0005-0000-0000-000011000000}"/>
    <cellStyle name="Título 1 2" xfId="20" xr:uid="{00000000-0005-0000-0000-000012000000}"/>
    <cellStyle name="Título 2 2" xfId="19" xr:uid="{00000000-0005-0000-0000-000013000000}"/>
    <cellStyle name="Título 3 2" xfId="18" xr:uid="{00000000-0005-0000-0000-000014000000}"/>
    <cellStyle name="Título 5" xfId="21" xr:uid="{00000000-0005-0000-0000-000015000000}"/>
    <cellStyle name="Vírgula" xfId="22" builtinId="3"/>
    <cellStyle name="zTextoOculto" xfId="13" xr:uid="{00000000-0005-0000-0000-000016000000}"/>
  </cellStyles>
  <dxfs count="45">
    <dxf>
      <alignment horizont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textRotation="0" wrapText="1" indent="0" justifyLastLine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textRotation="0" wrapText="1" indent="0" justifyLastLine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textRotation="0" wrapText="1" indent="0" justifyLastLine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bgColor theme="2" tint="-9.9948118533890809E-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0"/>
        </top>
        <bottom style="thin">
          <color theme="0"/>
        </bottom>
      </border>
    </dxf>
    <dxf>
      <fill>
        <patternFill>
          <bgColor theme="7" tint="-0.24994659260841701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0"/>
        </top>
        <bottom style="thin">
          <color theme="0"/>
        </bottom>
      </border>
    </dxf>
    <dxf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6" tint="0.59996337778862885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6" tint="0.39994506668294322"/>
        </patternFill>
      </fill>
      <border>
        <top style="thin">
          <color theme="0"/>
        </top>
        <bottom style="thin">
          <color theme="0"/>
        </bottom>
      </border>
    </dxf>
    <dxf>
      <fill>
        <patternFill>
          <bgColor theme="6" tint="0.79998168889431442"/>
        </patternFill>
      </fill>
      <border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fgColor indexed="64"/>
          <bgColor auto="1"/>
        </patternFill>
      </fill>
      <border>
        <top style="thin">
          <color theme="6" tint="0.39994506668294322"/>
        </top>
        <bottom style="thin">
          <color theme="6" tint="0.39994506668294322"/>
        </bottom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3" tint="-0.24994659260841701"/>
      </font>
      <border diagonalUp="0" diagonalDown="0">
        <left/>
        <right style="thin">
          <color theme="6" tint="0.39994506668294322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>
        <top style="thin">
          <color theme="6" tint="0.39994506668294322"/>
        </top>
        <bottom style="thin">
          <color theme="6" tint="0.39994506668294322"/>
        </bottom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3" tint="-0.24994659260841701"/>
      </font>
      <border diagonalUp="0" diagonalDown="0">
        <left/>
        <right style="thin">
          <color theme="6" tint="0.39994506668294322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>
        <top style="thin">
          <color theme="6" tint="0.39994506668294322"/>
        </top>
        <bottom style="thin">
          <color theme="6" tint="0.39994506668294322"/>
        </bottom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3" tint="-0.24994659260841701"/>
      </font>
      <border diagonalUp="0" diagonalDown="0">
        <left/>
        <right style="thin">
          <color theme="6" tint="0.39994506668294322"/>
        </right>
        <top/>
        <bottom/>
        <vertical/>
        <horizontal/>
      </border>
    </dxf>
  </dxfs>
  <tableStyles count="3" defaultTableStyle="TableStyleMedium2" defaultPivotStyle="PivotStyleMedium9">
    <tableStyle name="Estilo de tabela de Gantt" pivot="0" count="3" xr9:uid="{00000000-0011-0000-FFFF-FFFF00000000}">
      <tableStyleElement type="wholeTable" dxfId="44"/>
      <tableStyleElement type="headerRow" dxfId="43"/>
      <tableStyleElement type="firstRowStripe" dxfId="42"/>
    </tableStyle>
    <tableStyle name="Estilo de tabela de Gantt 2" pivot="0" count="3" xr9:uid="{00000000-0011-0000-FFFF-FFFF01000000}">
      <tableStyleElement type="wholeTable" dxfId="41"/>
      <tableStyleElement type="headerRow" dxfId="40"/>
      <tableStyleElement type="firstRowStripe" dxfId="39"/>
    </tableStyle>
    <tableStyle name="Estilo de tabela de Gantt 3" pivot="0" count="3" xr9:uid="{00000000-0011-0000-FFFF-FFFF02000000}">
      <tableStyleElement type="wholeTable" dxfId="38"/>
      <tableStyleElement type="headerRow" dxfId="37"/>
      <tableStyleElement type="firstRowStripe" dxfId="36"/>
    </tableStyle>
  </tableStyles>
  <colors>
    <mruColors>
      <color rgb="FF0066CC"/>
      <color rgb="FF0066FF"/>
      <color rgb="FF0099FF"/>
      <color rgb="FF0099CC"/>
      <color rgb="FF2192EF"/>
      <color rgb="FF3366CC"/>
      <color rgb="FF3333CC"/>
      <color rgb="FFCC00CC"/>
      <color rgb="FFCCFF33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36482939632551E-2"/>
          <c:y val="0.2128014727325751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'Dicionario EAP'!$AA$141:$AS$141</c:f>
              <c:numCache>
                <c:formatCode>0</c:formatCode>
                <c:ptCount val="19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'Dicionario EAP'!#REF!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5C5-4075-8719-31328DDDDA02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'Dicionario EAP'!$AA$142:$AS$142</c:f>
              <c:numCache>
                <c:formatCode>0</c:formatCode>
                <c:ptCount val="19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'Dicionario EAP'!#REF!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5C5-4075-8719-31328DDDD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297600"/>
        <c:axId val="1124286144"/>
      </c:lineChart>
      <c:catAx>
        <c:axId val="1068297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86144"/>
        <c:crosses val="autoZero"/>
        <c:auto val="1"/>
        <c:lblAlgn val="ctr"/>
        <c:lblOffset val="100"/>
        <c:noMultiLvlLbl val="0"/>
      </c:catAx>
      <c:valAx>
        <c:axId val="1124286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 sz="9600"/>
              <a:t>GRAFICO BURDONW</a:t>
            </a:r>
          </a:p>
        </c:rich>
      </c:tx>
      <c:layout>
        <c:manualLayout>
          <c:xMode val="edge"/>
          <c:yMode val="edge"/>
          <c:x val="0.278952696638545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0007072798926221E-2"/>
          <c:y val="3.958572745974321E-3"/>
          <c:w val="0.99575765027035357"/>
          <c:h val="0.9929805074365704"/>
        </c:manualLayout>
      </c:layout>
      <c:lineChart>
        <c:grouping val="standard"/>
        <c:varyColors val="0"/>
        <c:ser>
          <c:idx val="1"/>
          <c:order val="1"/>
          <c:tx>
            <c:strRef>
              <c:f>'Dicionario EAP2'!$V$88</c:f>
              <c:strCache>
                <c:ptCount val="1"/>
                <c:pt idx="0">
                  <c:v>RESTANTE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'Dicionario EAP2'!$W$13:$AM$13</c:f>
              <c:strCache>
                <c:ptCount val="17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SEMANA 13</c:v>
                </c:pt>
                <c:pt idx="13">
                  <c:v>SEMANA 14</c:v>
                </c:pt>
                <c:pt idx="14">
                  <c:v>SEMANA 15</c:v>
                </c:pt>
                <c:pt idx="15">
                  <c:v>SEMANA 16</c:v>
                </c:pt>
                <c:pt idx="16">
                  <c:v>SEMANA 17</c:v>
                </c:pt>
              </c:strCache>
            </c:strRef>
          </c:cat>
          <c:val>
            <c:numRef>
              <c:f>'Dicionario EAP2'!$W$88:$AM$88</c:f>
              <c:numCache>
                <c:formatCode>0</c:formatCode>
                <c:ptCount val="17"/>
                <c:pt idx="0">
                  <c:v>767.8</c:v>
                </c:pt>
                <c:pt idx="1">
                  <c:v>752.8</c:v>
                </c:pt>
                <c:pt idx="2">
                  <c:v>721.8</c:v>
                </c:pt>
                <c:pt idx="3">
                  <c:v>690.8</c:v>
                </c:pt>
                <c:pt idx="4">
                  <c:v>622.79999999999995</c:v>
                </c:pt>
                <c:pt idx="5">
                  <c:v>529.79999999999995</c:v>
                </c:pt>
                <c:pt idx="6">
                  <c:v>492.79999999999995</c:v>
                </c:pt>
                <c:pt idx="7">
                  <c:v>436.79999999999995</c:v>
                </c:pt>
                <c:pt idx="8">
                  <c:v>374.79999999999995</c:v>
                </c:pt>
                <c:pt idx="9">
                  <c:v>357.79999999999995</c:v>
                </c:pt>
                <c:pt idx="10">
                  <c:v>296.79999999999995</c:v>
                </c:pt>
                <c:pt idx="11">
                  <c:v>231.79999999999995</c:v>
                </c:pt>
                <c:pt idx="12">
                  <c:v>191.79999999999995</c:v>
                </c:pt>
                <c:pt idx="13">
                  <c:v>155.79999999999995</c:v>
                </c:pt>
                <c:pt idx="14">
                  <c:v>109.79999999999995</c:v>
                </c:pt>
                <c:pt idx="15">
                  <c:v>26.799999999999955</c:v>
                </c:pt>
                <c:pt idx="16">
                  <c:v>-6.2000000000000455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B-47C4-95AD-40D87E0C09AA}"/>
            </c:ext>
          </c:extLst>
        </c:ser>
        <c:ser>
          <c:idx val="2"/>
          <c:order val="2"/>
          <c:tx>
            <c:strRef>
              <c:f>'Dicionario EAP2'!$V$89</c:f>
              <c:strCache>
                <c:ptCount val="1"/>
                <c:pt idx="0">
                  <c:v>ESTIMADO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'Dicionario EAP2'!$W$13:$AM$13</c:f>
              <c:strCache>
                <c:ptCount val="17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SEMANA 13</c:v>
                </c:pt>
                <c:pt idx="13">
                  <c:v>SEMANA 14</c:v>
                </c:pt>
                <c:pt idx="14">
                  <c:v>SEMANA 15</c:v>
                </c:pt>
                <c:pt idx="15">
                  <c:v>SEMANA 16</c:v>
                </c:pt>
                <c:pt idx="16">
                  <c:v>SEMANA 17</c:v>
                </c:pt>
              </c:strCache>
            </c:strRef>
          </c:cat>
          <c:val>
            <c:numRef>
              <c:f>'Dicionario EAP2'!$W$89:$AM$89</c:f>
              <c:numCache>
                <c:formatCode>0</c:formatCode>
                <c:ptCount val="17"/>
                <c:pt idx="0">
                  <c:v>761.8</c:v>
                </c:pt>
                <c:pt idx="1">
                  <c:v>713.8</c:v>
                </c:pt>
                <c:pt idx="2">
                  <c:v>665.8</c:v>
                </c:pt>
                <c:pt idx="3">
                  <c:v>617.79999999999995</c:v>
                </c:pt>
                <c:pt idx="4">
                  <c:v>569.79999999999995</c:v>
                </c:pt>
                <c:pt idx="5">
                  <c:v>521.79999999999995</c:v>
                </c:pt>
                <c:pt idx="6">
                  <c:v>473.79999999999995</c:v>
                </c:pt>
                <c:pt idx="7">
                  <c:v>425.79999999999995</c:v>
                </c:pt>
                <c:pt idx="8">
                  <c:v>377.79999999999995</c:v>
                </c:pt>
                <c:pt idx="9">
                  <c:v>329.79999999999995</c:v>
                </c:pt>
                <c:pt idx="10">
                  <c:v>281.79999999999995</c:v>
                </c:pt>
                <c:pt idx="11">
                  <c:v>233.79999999999995</c:v>
                </c:pt>
                <c:pt idx="12">
                  <c:v>185.79999999999995</c:v>
                </c:pt>
                <c:pt idx="13">
                  <c:v>137.79999999999995</c:v>
                </c:pt>
                <c:pt idx="14">
                  <c:v>89.799999999999955</c:v>
                </c:pt>
                <c:pt idx="15">
                  <c:v>41.799999999999955</c:v>
                </c:pt>
                <c:pt idx="16">
                  <c:v>-6.2000000000000455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30B-47C4-95AD-40D87E0C09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26032736"/>
        <c:axId val="1357615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'Dicionario EAP2'!$V$15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'Dicionario EAP2'!$W$13:$AM$13</c15:sqref>
                        </c15:formulaRef>
                      </c:ext>
                    </c:extLst>
                    <c:strCache>
                      <c:ptCount val="17"/>
                      <c:pt idx="0">
                        <c:v>SEMANA 1</c:v>
                      </c:pt>
                      <c:pt idx="1">
                        <c:v>SEMANA 2</c:v>
                      </c:pt>
                      <c:pt idx="2">
                        <c:v>SEMANA 3</c:v>
                      </c:pt>
                      <c:pt idx="3">
                        <c:v>SEMANA 4</c:v>
                      </c:pt>
                      <c:pt idx="4">
                        <c:v>SEMANA 5</c:v>
                      </c:pt>
                      <c:pt idx="5">
                        <c:v>SEMANA 6</c:v>
                      </c:pt>
                      <c:pt idx="6">
                        <c:v>SEMANA 7</c:v>
                      </c:pt>
                      <c:pt idx="7">
                        <c:v>SEMANA 8</c:v>
                      </c:pt>
                      <c:pt idx="8">
                        <c:v>SEMANA 9</c:v>
                      </c:pt>
                      <c:pt idx="9">
                        <c:v>SEMANA 10</c:v>
                      </c:pt>
                      <c:pt idx="10">
                        <c:v>SEMANA 11</c:v>
                      </c:pt>
                      <c:pt idx="11">
                        <c:v>SEMANA 12</c:v>
                      </c:pt>
                      <c:pt idx="12">
                        <c:v>SEMANA 13</c:v>
                      </c:pt>
                      <c:pt idx="13">
                        <c:v>SEMANA 14</c:v>
                      </c:pt>
                      <c:pt idx="14">
                        <c:v>SEMANA 15</c:v>
                      </c:pt>
                      <c:pt idx="15">
                        <c:v>SEMANA 16</c:v>
                      </c:pt>
                      <c:pt idx="16">
                        <c:v>SEMANA 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'Dicionario EAP2'!$W$15:$AM$15</c15:sqref>
                        </c15:formulaRef>
                      </c:ext>
                    </c:extLst>
                    <c:numCache>
                      <c:formatCode>d\-mmm</c:formatCode>
                      <c:ptCount val="1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30B-47C4-95AD-40D87E0C09AA}"/>
                  </c:ext>
                </c:extLst>
              </c15:ser>
            </c15:filteredLineSeries>
          </c:ext>
        </c:extLst>
      </c:lineChart>
      <c:catAx>
        <c:axId val="17260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15360"/>
        <c:crosses val="autoZero"/>
        <c:auto val="1"/>
        <c:lblAlgn val="ctr"/>
        <c:lblOffset val="100"/>
        <c:noMultiLvlLbl val="1"/>
      </c:catAx>
      <c:valAx>
        <c:axId val="13576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2179295176150022E-2"/>
          <c:y val="0.83040363197843514"/>
          <c:w val="0.33961604614465479"/>
          <c:h val="6.7035028729516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5426117374376"/>
          <c:y val="0.15770600417350822"/>
          <c:w val="0.38880318823680904"/>
          <c:h val="0.67831474709183692"/>
        </c:manualLayout>
      </c:layout>
      <c:barChart>
        <c:barDir val="bar"/>
        <c:grouping val="stack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bg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851-4052-A497-E59D16436195}"/>
              </c:ext>
            </c:extLst>
          </c:dPt>
          <c:dPt>
            <c:idx val="1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outerShdw blurRad="50800" dist="50800" dir="5400000" sx="1000" sy="1000" algn="ctr" rotWithShape="0">
                  <a:schemeClr val="tx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51-4052-A497-E59D164361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Checklist!$M$2:$M$3</c:f>
              <c:numCache>
                <c:formatCode>0%</c:formatCode>
                <c:ptCount val="2"/>
                <c:pt idx="0">
                  <c:v>0</c:v>
                </c:pt>
                <c:pt idx="1">
                  <c:v>1.0526315789473684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9-4377-89B5-A93FDA5B8F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6344864"/>
        <c:axId val="269713376"/>
      </c:barChart>
      <c:valAx>
        <c:axId val="269713376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4864"/>
        <c:crosses val="autoZero"/>
        <c:crossBetween val="between"/>
      </c:valAx>
      <c:catAx>
        <c:axId val="20634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713376"/>
        <c:crosses val="autoZero"/>
        <c:auto val="1"/>
        <c:lblAlgn val="ctr"/>
        <c:lblOffset val="100"/>
        <c:noMultiLvlLbl val="0"/>
      </c:catAx>
      <c:spPr>
        <a:solidFill>
          <a:schemeClr val="accent1">
            <a:alpha val="4000"/>
          </a:schemeClr>
        </a:solidFill>
        <a:ln>
          <a:noFill/>
        </a:ln>
        <a:effectLst/>
      </c:spPr>
    </c:plotArea>
    <c:legend>
      <c:legendPos val="r"/>
      <c:overlay val="0"/>
      <c:spPr>
        <a:solidFill>
          <a:schemeClr val="bg1">
            <a:alpha val="0"/>
          </a:schemeClr>
        </a:solidFill>
        <a:ln>
          <a:noFill/>
        </a:ln>
        <a:effectLst>
          <a:outerShdw blurRad="50800" dist="50800" dir="9000000" sx="1000" sy="1000" algn="ctr" rotWithShape="0">
            <a:schemeClr val="tx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5426117374376"/>
          <c:y val="0.15770600417350822"/>
          <c:w val="0.38880318823680904"/>
          <c:h val="0.67831474709183692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4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9-443A-8501-2C9BE360FEB8}"/>
              </c:ext>
            </c:extLst>
          </c:dPt>
          <c:dPt>
            <c:idx val="1"/>
            <c:invertIfNegative val="0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9-443A-8501-2C9BE360FEB8}"/>
              </c:ext>
            </c:extLst>
          </c:dPt>
          <c:dLbls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Checklist!$M$15:$M$16</c:f>
              <c:numCache>
                <c:formatCode>0%</c:formatCode>
                <c:ptCount val="2"/>
                <c:pt idx="0">
                  <c:v>0.89473684210526316</c:v>
                </c:pt>
                <c:pt idx="1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99-443A-8501-2C9BE360FE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078931344"/>
        <c:axId val="296435424"/>
      </c:barChart>
      <c:valAx>
        <c:axId val="29643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31344"/>
        <c:crosses val="autoZero"/>
        <c:crossBetween val="between"/>
      </c:valAx>
      <c:catAx>
        <c:axId val="207893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35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checked="Checked" fmlaLink="$A$4" lockText="1" noThreeD="1"/>
</file>

<file path=xl/ctrlProps/ctrlProp2.xml><?xml version="1.0" encoding="utf-8"?>
<formControlPr xmlns="http://schemas.microsoft.com/office/spreadsheetml/2009/9/main" objectType="CheckBox" checked="Checked" fmlaLink="$A$8" lockText="1" noThreeD="1"/>
</file>

<file path=xl/ctrlProps/ctrlProp3.xml><?xml version="1.0" encoding="utf-8"?>
<formControlPr xmlns="http://schemas.microsoft.com/office/spreadsheetml/2009/9/main" objectType="CheckBox" checked="Checked" fmlaLink="$A$5" lockText="1" noThreeD="1"/>
</file>

<file path=xl/ctrlProps/ctrlProp4.xml><?xml version="1.0" encoding="utf-8"?>
<formControlPr xmlns="http://schemas.microsoft.com/office/spreadsheetml/2009/9/main" objectType="CheckBox" checked="Checked" fmlaLink="$A$6" lockText="1" noThreeD="1"/>
</file>

<file path=xl/ctrlProps/ctrlProp5.xml><?xml version="1.0" encoding="utf-8"?>
<formControlPr xmlns="http://schemas.microsoft.com/office/spreadsheetml/2009/9/main" objectType="CheckBox" checked="Checked" fmlaLink="$A$7" lockText="1" noThreeD="1"/>
</file>

<file path=xl/ctrlProps/ctrlProp6.xml><?xml version="1.0" encoding="utf-8"?>
<formControlPr xmlns="http://schemas.microsoft.com/office/spreadsheetml/2009/9/main" objectType="CheckBox" fmlaLink="$J$4" lockText="1" noThreeD="1"/>
</file>

<file path=xl/ctrlProps/ctrlProp7.xml><?xml version="1.0" encoding="utf-8"?>
<formControlPr xmlns="http://schemas.microsoft.com/office/spreadsheetml/2009/9/main" objectType="CheckBox" checked="Checked" fmlaLink="$A$9" lockText="1" noThreeD="1"/>
</file>

<file path=xl/ctrlProps/ctrlProp8.xml><?xml version="1.0" encoding="utf-8"?>
<formControlPr xmlns="http://schemas.microsoft.com/office/spreadsheetml/2009/9/main" objectType="CheckBox" checked="Checked" fmlaLink="$A$10" lockText="1" noThreeD="1"/>
</file>

<file path=xl/ctrlProps/ctrlProp9.xml><?xml version="1.0" encoding="utf-8"?>
<formControlPr xmlns="http://schemas.microsoft.com/office/spreadsheetml/2009/9/main" objectType="CheckBox" checked="Checked" fmlaLink="$A$11" lockText="1" noThreeD="1"/>
</file>

<file path=xl/ctrlProps/ctrlProp10.xml><?xml version="1.0" encoding="utf-8"?>
<formControlPr xmlns="http://schemas.microsoft.com/office/spreadsheetml/2009/9/main" objectType="CheckBox" checked="Checked" fmlaLink="$A$12" lockText="1" noThreeD="1"/>
</file>

<file path=xl/ctrlProps/ctrlProp11.xml><?xml version="1.0" encoding="utf-8"?>
<formControlPr xmlns="http://schemas.microsoft.com/office/spreadsheetml/2009/9/main" objectType="CheckBox" checked="Checked" fmlaLink="$A$13" lockText="1" noThreeD="1"/>
</file>

<file path=xl/ctrlProps/ctrlProp12.xml><?xml version="1.0" encoding="utf-8"?>
<formControlPr xmlns="http://schemas.microsoft.com/office/spreadsheetml/2009/9/main" objectType="CheckBox" checked="Checked" fmlaLink="$J$5" lockText="1" noThreeD="1"/>
</file>

<file path=xl/ctrlProps/ctrlProp13.xml><?xml version="1.0" encoding="utf-8"?>
<formControlPr xmlns="http://schemas.microsoft.com/office/spreadsheetml/2009/9/main" objectType="CheckBox" fmlaLink="$J$6" lockText="1" noThreeD="1"/>
</file>

<file path=xl/ctrlProps/ctrlProp14.xml><?xml version="1.0" encoding="utf-8"?>
<formControlPr xmlns="http://schemas.microsoft.com/office/spreadsheetml/2009/9/main" objectType="CheckBox" fmlaLink="$J$7" lockText="1" noThreeD="1"/>
</file>

<file path=xl/ctrlProps/ctrlProp15.xml><?xml version="1.0" encoding="utf-8"?>
<formControlPr xmlns="http://schemas.microsoft.com/office/spreadsheetml/2009/9/main" objectType="CheckBox" fmlaLink="$J$8" lockText="1" noThreeD="1"/>
</file>

<file path=xl/ctrlProps/ctrlProp16.xml><?xml version="1.0" encoding="utf-8"?>
<formControlPr xmlns="http://schemas.microsoft.com/office/spreadsheetml/2009/9/main" objectType="CheckBox" fmlaLink="$J$9" lockText="1" noThreeD="1"/>
</file>

<file path=xl/ctrlProps/ctrlProp17.xml><?xml version="1.0" encoding="utf-8"?>
<formControlPr xmlns="http://schemas.microsoft.com/office/spreadsheetml/2009/9/main" objectType="CheckBox" fmlaLink="$J$10" lockText="1" noThreeD="1"/>
</file>

<file path=xl/ctrlProps/ctrlProp18.xml><?xml version="1.0" encoding="utf-8"?>
<formControlPr xmlns="http://schemas.microsoft.com/office/spreadsheetml/2009/9/main" objectType="CheckBox" fmlaLink="$J$11" lockText="1" noThreeD="1"/>
</file>

<file path=xl/ctrlProps/ctrlProp19.xml><?xml version="1.0" encoding="utf-8"?>
<formControlPr xmlns="http://schemas.microsoft.com/office/spreadsheetml/2009/9/main" objectType="CheckBox" fmlaLink="$J$12" lockText="1" noThreeD="1"/>
</file>

<file path=xl/ctrlProps/ctrlProp20.xml><?xml version="1.0" encoding="utf-8"?>
<formControlPr xmlns="http://schemas.microsoft.com/office/spreadsheetml/2009/9/main" objectType="CheckBox" fmlaLink="$J$13" lockText="1" noThreeD="1"/>
</file>

<file path=xl/ctrlProps/ctrlProp21.xml><?xml version="1.0" encoding="utf-8"?>
<formControlPr xmlns="http://schemas.microsoft.com/office/spreadsheetml/2009/9/main" objectType="CheckBox" checked="Checked" fmlaLink="$A$18" lockText="1" noThreeD="1"/>
</file>

<file path=xl/ctrlProps/ctrlProp22.xml><?xml version="1.0" encoding="utf-8"?>
<formControlPr xmlns="http://schemas.microsoft.com/office/spreadsheetml/2009/9/main" objectType="CheckBox" checked="Checked" fmlaLink="$A$15" lockText="1" noThreeD="1"/>
</file>

<file path=xl/ctrlProps/ctrlProp23.xml><?xml version="1.0" encoding="utf-8"?>
<formControlPr xmlns="http://schemas.microsoft.com/office/spreadsheetml/2009/9/main" objectType="CheckBox" checked="Checked" fmlaLink="$A$16" lockText="1" noThreeD="1"/>
</file>

<file path=xl/ctrlProps/ctrlProp24.xml><?xml version="1.0" encoding="utf-8"?>
<formControlPr xmlns="http://schemas.microsoft.com/office/spreadsheetml/2009/9/main" objectType="CheckBox" checked="Checked" fmlaLink="$A$17" lockText="1" noThreeD="1"/>
</file>

<file path=xl/ctrlProps/ctrlProp25.xml><?xml version="1.0" encoding="utf-8"?>
<formControlPr xmlns="http://schemas.microsoft.com/office/spreadsheetml/2009/9/main" objectType="CheckBox" checked="Checked" fmlaLink="$A$19" lockText="1" noThreeD="1"/>
</file>

<file path=xl/ctrlProps/ctrlProp26.xml><?xml version="1.0" encoding="utf-8"?>
<formControlPr xmlns="http://schemas.microsoft.com/office/spreadsheetml/2009/9/main" objectType="CheckBox" checked="Checked" fmlaLink="$A$20" lockText="1" noThreeD="1"/>
</file>

<file path=xl/ctrlProps/ctrlProp27.xml><?xml version="1.0" encoding="utf-8"?>
<formControlPr xmlns="http://schemas.microsoft.com/office/spreadsheetml/2009/9/main" objectType="CheckBox" checked="Checked" fmlaLink="$A$21" lockText="1" noThreeD="1"/>
</file>

<file path=xl/ctrlProps/ctrlProp28.xml><?xml version="1.0" encoding="utf-8"?>
<formControlPr xmlns="http://schemas.microsoft.com/office/spreadsheetml/2009/9/main" objectType="CheckBox" checked="Checked" fmlaLink="$A$22" lockText="1" noThreeD="1"/>
</file>

<file path=xl/ctrlProps/ctrlProp29.xml><?xml version="1.0" encoding="utf-8"?>
<formControlPr xmlns="http://schemas.microsoft.com/office/spreadsheetml/2009/9/main" objectType="CheckBox" checked="Checked" fmlaLink="$A$23" lockText="1" noThreeD="1"/>
</file>

<file path=xl/ctrlProps/ctrlProp30.xml><?xml version="1.0" encoding="utf-8"?>
<formControlPr xmlns="http://schemas.microsoft.com/office/spreadsheetml/2009/9/main" objectType="CheckBox" fmlaLink="$J$15" lockText="1" noThreeD="1"/>
</file>

<file path=xl/ctrlProps/ctrlProp31.xml><?xml version="1.0" encoding="utf-8"?>
<formControlPr xmlns="http://schemas.microsoft.com/office/spreadsheetml/2009/9/main" objectType="CheckBox" fmlaLink="$J$16" lockText="1" noThreeD="1"/>
</file>

<file path=xl/ctrlProps/ctrlProp32.xml><?xml version="1.0" encoding="utf-8"?>
<formControlPr xmlns="http://schemas.microsoft.com/office/spreadsheetml/2009/9/main" objectType="CheckBox" fmlaLink="$J$17" lockText="1" noThreeD="1"/>
</file>

<file path=xl/ctrlProps/ctrlProp33.xml><?xml version="1.0" encoding="utf-8"?>
<formControlPr xmlns="http://schemas.microsoft.com/office/spreadsheetml/2009/9/main" objectType="CheckBox" fmlaLink="$J$18" lockText="1" noThreeD="1"/>
</file>

<file path=xl/ctrlProps/ctrlProp34.xml><?xml version="1.0" encoding="utf-8"?>
<formControlPr xmlns="http://schemas.microsoft.com/office/spreadsheetml/2009/9/main" objectType="CheckBox" fmlaLink="$J$19" lockText="1" noThreeD="1"/>
</file>

<file path=xl/ctrlProps/ctrlProp35.xml><?xml version="1.0" encoding="utf-8"?>
<formControlPr xmlns="http://schemas.microsoft.com/office/spreadsheetml/2009/9/main" objectType="CheckBox" fmlaLink="$J$20" lockText="1" noThreeD="1"/>
</file>

<file path=xl/ctrlProps/ctrlProp36.xml><?xml version="1.0" encoding="utf-8"?>
<formControlPr xmlns="http://schemas.microsoft.com/office/spreadsheetml/2009/9/main" objectType="CheckBox" fmlaLink="$J$21" lockText="1" noThreeD="1"/>
</file>

<file path=xl/ctrlProps/ctrlProp37.xml><?xml version="1.0" encoding="utf-8"?>
<formControlPr xmlns="http://schemas.microsoft.com/office/spreadsheetml/2009/9/main" objectType="CheckBox" checked="Checked" fmlaLink="$J$22" lockText="1" noThreeD="1"/>
</file>

<file path=xl/ctrlProps/ctrlProp38.xml><?xml version="1.0" encoding="utf-8"?>
<formControlPr xmlns="http://schemas.microsoft.com/office/spreadsheetml/2009/9/main" objectType="CheckBox" checked="Checked" fmlaLink="$J$23" lockText="1" noThreeD="1"/>
</file>

<file path=xl/ctrlProps/ctrlProp39.xml><?xml version="1.0" encoding="utf-8"?>
<formControlPr xmlns="http://schemas.microsoft.com/office/spreadsheetml/2009/9/main" objectType="CheckBox" checked="Checked" fmlaLink="$A$14" lockText="1" noThreeD="1"/>
</file>

<file path=xl/ctrlProps/ctrlProp40.xml><?xml version="1.0" encoding="utf-8"?>
<formControlPr xmlns="http://schemas.microsoft.com/office/spreadsheetml/2009/9/main" objectType="CheckBox" fmlaLink="$J$14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fmlaLink="$J$26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fmlaLink="$J$29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fmlaLink="$J$30" lockText="1" noThreeD="1"/>
</file>

<file path=xl/ctrlProps/ctrlProp84.xml><?xml version="1.0" encoding="utf-8"?>
<formControlPr xmlns="http://schemas.microsoft.com/office/spreadsheetml/2009/9/main" objectType="CheckBox" checked="Checked" fmlaLink="$J$32" lockText="1" noThreeD="1"/>
</file>

<file path=xl/ctrlProps/ctrlProp85.xml><?xml version="1.0" encoding="utf-8"?>
<formControlPr xmlns="http://schemas.microsoft.com/office/spreadsheetml/2009/9/main" objectType="CheckBox" checked="Checked" fmlaLink="$J$33" lockText="1" noThreeD="1"/>
</file>

<file path=xl/ctrlProps/ctrlProp86.xml><?xml version="1.0" encoding="utf-8"?>
<formControlPr xmlns="http://schemas.microsoft.com/office/spreadsheetml/2009/9/main" objectType="CheckBox" checked="Checked" fmlaLink="$J$31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fmlaLink="$J$34" lockText="1" noThreeD="1"/>
</file>

<file path=xl/ctrlProps/ctrlProp89.xml><?xml version="1.0" encoding="utf-8"?>
<formControlPr xmlns="http://schemas.microsoft.com/office/spreadsheetml/2009/9/main" objectType="CheckBox" checked="Checked" fmlaLink="$J$36" lockText="1" noThreeD="1"/>
</file>

<file path=xl/ctrlProps/ctrlProp90.xml><?xml version="1.0" encoding="utf-8"?>
<formControlPr xmlns="http://schemas.microsoft.com/office/spreadsheetml/2009/9/main" objectType="CheckBox" checked="Checked" fmlaLink="$J$37" lockText="1" noThreeD="1"/>
</file>

<file path=xl/ctrlProps/ctrlProp91.xml><?xml version="1.0" encoding="utf-8"?>
<formControlPr xmlns="http://schemas.microsoft.com/office/spreadsheetml/2009/9/main" objectType="CheckBox" checked="Checked" fmlaLink="$J$35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checked="Checked" fmlaLink="$J$38" lockText="1" noThreeD="1"/>
</file>

<file path=xl/ctrlProps/ctrlProp94.xml><?xml version="1.0" encoding="utf-8"?>
<formControlPr xmlns="http://schemas.microsoft.com/office/spreadsheetml/2009/9/main" objectType="CheckBox" checked="Checked" fmlaLink="$J$40" lockText="1" noThreeD="1"/>
</file>

<file path=xl/ctrlProps/ctrlProp95.xml><?xml version="1.0" encoding="utf-8"?>
<formControlPr xmlns="http://schemas.microsoft.com/office/spreadsheetml/2009/9/main" objectType="CheckBox" checked="Checked" fmlaLink="$J$41" lockText="1" noThreeD="1"/>
</file>

<file path=xl/ctrlProps/ctrlProp96.xml><?xml version="1.0" encoding="utf-8"?>
<formControlPr xmlns="http://schemas.microsoft.com/office/spreadsheetml/2009/9/main" objectType="CheckBox" checked="Checked" fmlaLink="$J$39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Scroll" dx="39" fmlaLink="$F$4" horiz="1" max="100" page="2" val="44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Relationship Id="rId9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11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12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11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14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15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589359</xdr:colOff>
      <xdr:row>5</xdr:row>
      <xdr:rowOff>39288</xdr:rowOff>
    </xdr:from>
    <xdr:to>
      <xdr:col>87</xdr:col>
      <xdr:colOff>190499</xdr:colOff>
      <xdr:row>29</xdr:row>
      <xdr:rowOff>238125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76200</xdr:rowOff>
    </xdr:from>
    <xdr:to>
      <xdr:col>3</xdr:col>
      <xdr:colOff>3876675</xdr:colOff>
      <xdr:row>5</xdr:row>
      <xdr:rowOff>1447800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38100" y="76200"/>
          <a:ext cx="13944600" cy="7658100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3790950</xdr:colOff>
      <xdr:row>11</xdr:row>
      <xdr:rowOff>209550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66675" y="0"/>
          <a:ext cx="7458075" cy="3810000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41</xdr:col>
      <xdr:colOff>142870</xdr:colOff>
      <xdr:row>8</xdr:row>
      <xdr:rowOff>419100</xdr:rowOff>
    </xdr:from>
    <xdr:to>
      <xdr:col>93</xdr:col>
      <xdr:colOff>285750</xdr:colOff>
      <xdr:row>22</xdr:row>
      <xdr:rowOff>1371600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</xdr:row>
      <xdr:rowOff>161925</xdr:rowOff>
    </xdr:from>
    <xdr:to>
      <xdr:col>3</xdr:col>
      <xdr:colOff>85725</xdr:colOff>
      <xdr:row>4</xdr:row>
      <xdr:rowOff>0</xdr:rowOff>
    </xdr:to>
    <xdr:sp macro="" textlink="">
      <xdr:nvSpPr>
        <xdr:cNvPr id="3073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</xdr:row>
      <xdr:rowOff>171450</xdr:rowOff>
    </xdr:from>
    <xdr:to>
      <xdr:col>3</xdr:col>
      <xdr:colOff>76200</xdr:colOff>
      <xdr:row>8</xdr:row>
      <xdr:rowOff>9525</xdr:rowOff>
    </xdr:to>
    <xdr:sp macro="" textlink="">
      <xdr:nvSpPr>
        <xdr:cNvPr id="3074" name="Check Box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3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</xdr:row>
      <xdr:rowOff>161925</xdr:rowOff>
    </xdr:from>
    <xdr:to>
      <xdr:col>3</xdr:col>
      <xdr:colOff>76200</xdr:colOff>
      <xdr:row>5</xdr:row>
      <xdr:rowOff>0</xdr:rowOff>
    </xdr:to>
    <xdr:sp macro="" textlink="">
      <xdr:nvSpPr>
        <xdr:cNvPr id="307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</xdr:row>
      <xdr:rowOff>161925</xdr:rowOff>
    </xdr:from>
    <xdr:to>
      <xdr:col>3</xdr:col>
      <xdr:colOff>76200</xdr:colOff>
      <xdr:row>6</xdr:row>
      <xdr:rowOff>0</xdr:rowOff>
    </xdr:to>
    <xdr:sp macro="" textlink="">
      <xdr:nvSpPr>
        <xdr:cNvPr id="3076" name="Check Box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3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</xdr:row>
      <xdr:rowOff>171450</xdr:rowOff>
    </xdr:from>
    <xdr:to>
      <xdr:col>3</xdr:col>
      <xdr:colOff>76200</xdr:colOff>
      <xdr:row>7</xdr:row>
      <xdr:rowOff>9525</xdr:rowOff>
    </xdr:to>
    <xdr:sp macro="" textlink="">
      <xdr:nvSpPr>
        <xdr:cNvPr id="3077" name="Check Box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3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171450</xdr:rowOff>
    </xdr:from>
    <xdr:to>
      <xdr:col>7</xdr:col>
      <xdr:colOff>66675</xdr:colOff>
      <xdr:row>4</xdr:row>
      <xdr:rowOff>9525</xdr:rowOff>
    </xdr:to>
    <xdr:sp macro="" textlink="">
      <xdr:nvSpPr>
        <xdr:cNvPr id="3078" name="Check Box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300-00000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</xdr:row>
      <xdr:rowOff>171450</xdr:rowOff>
    </xdr:from>
    <xdr:to>
      <xdr:col>3</xdr:col>
      <xdr:colOff>76200</xdr:colOff>
      <xdr:row>9</xdr:row>
      <xdr:rowOff>9525</xdr:rowOff>
    </xdr:to>
    <xdr:sp macro="" textlink="">
      <xdr:nvSpPr>
        <xdr:cNvPr id="3079" name="Check Box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3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</xdr:row>
      <xdr:rowOff>161925</xdr:rowOff>
    </xdr:from>
    <xdr:to>
      <xdr:col>3</xdr:col>
      <xdr:colOff>76200</xdr:colOff>
      <xdr:row>10</xdr:row>
      <xdr:rowOff>0</xdr:rowOff>
    </xdr:to>
    <xdr:sp macro="" textlink="">
      <xdr:nvSpPr>
        <xdr:cNvPr id="3080" name="Check Box 8" hidden="1">
          <a:extLst>
            <a:ext uri="{63B3BB69-23CF-44E3-9099-C40C66FF867C}">
              <a14:compatExt xmlns:a14="http://schemas.microsoft.com/office/drawing/2010/main" spid="_x0000_s3080"/>
            </a:ex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9</xdr:row>
      <xdr:rowOff>171450</xdr:rowOff>
    </xdr:from>
    <xdr:to>
      <xdr:col>3</xdr:col>
      <xdr:colOff>76200</xdr:colOff>
      <xdr:row>11</xdr:row>
      <xdr:rowOff>9525</xdr:rowOff>
    </xdr:to>
    <xdr:sp macro="" textlink="">
      <xdr:nvSpPr>
        <xdr:cNvPr id="3081" name="Check Box 9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3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10</xdr:row>
      <xdr:rowOff>171450</xdr:rowOff>
    </xdr:from>
    <xdr:to>
      <xdr:col>3</xdr:col>
      <xdr:colOff>76200</xdr:colOff>
      <xdr:row>12</xdr:row>
      <xdr:rowOff>9525</xdr:rowOff>
    </xdr:to>
    <xdr:sp macro="" textlink="">
      <xdr:nvSpPr>
        <xdr:cNvPr id="3082" name="Check Box 10" hidden="1">
          <a:extLst>
            <a:ext uri="{63B3BB69-23CF-44E3-9099-C40C66FF867C}">
              <a14:compatExt xmlns:a14="http://schemas.microsoft.com/office/drawing/2010/main" spid="_x0000_s3082"/>
            </a:ext>
            <a:ext uri="{FF2B5EF4-FFF2-40B4-BE49-F238E27FC236}">
              <a16:creationId xmlns:a16="http://schemas.microsoft.com/office/drawing/2014/main" id="{00000000-0008-0000-0300-00000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11</xdr:row>
      <xdr:rowOff>171450</xdr:rowOff>
    </xdr:from>
    <xdr:to>
      <xdr:col>3</xdr:col>
      <xdr:colOff>76200</xdr:colOff>
      <xdr:row>12</xdr:row>
      <xdr:rowOff>200025</xdr:rowOff>
    </xdr:to>
    <xdr:sp macro="" textlink="">
      <xdr:nvSpPr>
        <xdr:cNvPr id="3083" name="Check Box 11" hidden="1">
          <a:extLst>
            <a:ext uri="{63B3BB69-23CF-44E3-9099-C40C66FF867C}">
              <a14:compatExt xmlns:a14="http://schemas.microsoft.com/office/drawing/2010/main" spid="_x0000_s3083"/>
            </a:ext>
            <a:ext uri="{FF2B5EF4-FFF2-40B4-BE49-F238E27FC236}">
              <a16:creationId xmlns:a16="http://schemas.microsoft.com/office/drawing/2014/main" id="{00000000-0008-0000-0300-00000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</xdr:row>
      <xdr:rowOff>161925</xdr:rowOff>
    </xdr:from>
    <xdr:to>
      <xdr:col>7</xdr:col>
      <xdr:colOff>66675</xdr:colOff>
      <xdr:row>5</xdr:row>
      <xdr:rowOff>0</xdr:rowOff>
    </xdr:to>
    <xdr:sp macro="" textlink="">
      <xdr:nvSpPr>
        <xdr:cNvPr id="3084" name="Check Box 12" hidden="1">
          <a:extLst>
            <a:ext uri="{63B3BB69-23CF-44E3-9099-C40C66FF867C}">
              <a14:compatExt xmlns:a14="http://schemas.microsoft.com/office/drawing/2010/main" spid="_x0000_s3084"/>
            </a:ext>
            <a:ext uri="{FF2B5EF4-FFF2-40B4-BE49-F238E27FC236}">
              <a16:creationId xmlns:a16="http://schemas.microsoft.com/office/drawing/2014/main" id="{00000000-0008-0000-0300-00000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</xdr:row>
      <xdr:rowOff>161925</xdr:rowOff>
    </xdr:from>
    <xdr:to>
      <xdr:col>7</xdr:col>
      <xdr:colOff>66675</xdr:colOff>
      <xdr:row>6</xdr:row>
      <xdr:rowOff>0</xdr:rowOff>
    </xdr:to>
    <xdr:sp macro="" textlink="">
      <xdr:nvSpPr>
        <xdr:cNvPr id="3085" name="Check Box 13" hidden="1">
          <a:extLst>
            <a:ext uri="{63B3BB69-23CF-44E3-9099-C40C66FF867C}">
              <a14:compatExt xmlns:a14="http://schemas.microsoft.com/office/drawing/2010/main" spid="_x0000_s3085"/>
            </a:ext>
            <a:ext uri="{FF2B5EF4-FFF2-40B4-BE49-F238E27FC236}">
              <a16:creationId xmlns:a16="http://schemas.microsoft.com/office/drawing/2014/main" id="{00000000-0008-0000-0300-00000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171450</xdr:rowOff>
    </xdr:from>
    <xdr:to>
      <xdr:col>7</xdr:col>
      <xdr:colOff>66675</xdr:colOff>
      <xdr:row>7</xdr:row>
      <xdr:rowOff>9525</xdr:rowOff>
    </xdr:to>
    <xdr:sp macro="" textlink="">
      <xdr:nvSpPr>
        <xdr:cNvPr id="3086" name="Check Box 14" hidden="1">
          <a:extLst>
            <a:ext uri="{63B3BB69-23CF-44E3-9099-C40C66FF867C}">
              <a14:compatExt xmlns:a14="http://schemas.microsoft.com/office/drawing/2010/main" spid="_x0000_s3086"/>
            </a:ext>
            <a:ext uri="{FF2B5EF4-FFF2-40B4-BE49-F238E27FC236}">
              <a16:creationId xmlns:a16="http://schemas.microsoft.com/office/drawing/2014/main" id="{00000000-0008-0000-0300-00000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</xdr:row>
      <xdr:rowOff>171450</xdr:rowOff>
    </xdr:from>
    <xdr:to>
      <xdr:col>7</xdr:col>
      <xdr:colOff>66675</xdr:colOff>
      <xdr:row>8</xdr:row>
      <xdr:rowOff>9525</xdr:rowOff>
    </xdr:to>
    <xdr:sp macro="" textlink="">
      <xdr:nvSpPr>
        <xdr:cNvPr id="3087" name="Check Box 15" hidden="1">
          <a:extLst>
            <a:ext uri="{63B3BB69-23CF-44E3-9099-C40C66FF867C}">
              <a14:compatExt xmlns:a14="http://schemas.microsoft.com/office/drawing/2010/main" spid="_x0000_s3087"/>
            </a:ex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</xdr:row>
      <xdr:rowOff>171450</xdr:rowOff>
    </xdr:from>
    <xdr:to>
      <xdr:col>7</xdr:col>
      <xdr:colOff>66675</xdr:colOff>
      <xdr:row>9</xdr:row>
      <xdr:rowOff>9525</xdr:rowOff>
    </xdr:to>
    <xdr:sp macro="" textlink="">
      <xdr:nvSpPr>
        <xdr:cNvPr id="3088" name="Check Box 16" hidden="1">
          <a:extLst>
            <a:ext uri="{63B3BB69-23CF-44E3-9099-C40C66FF867C}">
              <a14:compatExt xmlns:a14="http://schemas.microsoft.com/office/drawing/2010/main" spid="_x0000_s3088"/>
            </a:ext>
            <a:ext uri="{FF2B5EF4-FFF2-40B4-BE49-F238E27FC236}">
              <a16:creationId xmlns:a16="http://schemas.microsoft.com/office/drawing/2014/main" id="{00000000-0008-0000-0300-00001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8</xdr:row>
      <xdr:rowOff>161925</xdr:rowOff>
    </xdr:from>
    <xdr:to>
      <xdr:col>7</xdr:col>
      <xdr:colOff>66675</xdr:colOff>
      <xdr:row>10</xdr:row>
      <xdr:rowOff>0</xdr:rowOff>
    </xdr:to>
    <xdr:sp macro="" textlink="">
      <xdr:nvSpPr>
        <xdr:cNvPr id="3089" name="Check Box 17" hidden="1">
          <a:extLst>
            <a:ext uri="{63B3BB69-23CF-44E3-9099-C40C66FF867C}">
              <a14:compatExt xmlns:a14="http://schemas.microsoft.com/office/drawing/2010/main" spid="_x0000_s3089"/>
            </a:ext>
            <a:ext uri="{FF2B5EF4-FFF2-40B4-BE49-F238E27FC236}">
              <a16:creationId xmlns:a16="http://schemas.microsoft.com/office/drawing/2014/main" id="{00000000-0008-0000-0300-00001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9</xdr:row>
      <xdr:rowOff>161925</xdr:rowOff>
    </xdr:from>
    <xdr:to>
      <xdr:col>7</xdr:col>
      <xdr:colOff>66675</xdr:colOff>
      <xdr:row>11</xdr:row>
      <xdr:rowOff>0</xdr:rowOff>
    </xdr:to>
    <xdr:sp macro="" textlink="">
      <xdr:nvSpPr>
        <xdr:cNvPr id="3090" name="Check Box 18" hidden="1">
          <a:extLst>
            <a:ext uri="{63B3BB69-23CF-44E3-9099-C40C66FF867C}">
              <a14:compatExt xmlns:a14="http://schemas.microsoft.com/office/drawing/2010/main" spid="_x0000_s3090"/>
            </a:ext>
            <a:ext uri="{FF2B5EF4-FFF2-40B4-BE49-F238E27FC236}">
              <a16:creationId xmlns:a16="http://schemas.microsoft.com/office/drawing/2014/main" id="{00000000-0008-0000-0300-00001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10</xdr:row>
      <xdr:rowOff>161925</xdr:rowOff>
    </xdr:from>
    <xdr:to>
      <xdr:col>7</xdr:col>
      <xdr:colOff>66675</xdr:colOff>
      <xdr:row>12</xdr:row>
      <xdr:rowOff>0</xdr:rowOff>
    </xdr:to>
    <xdr:sp macro="" textlink="">
      <xdr:nvSpPr>
        <xdr:cNvPr id="3091" name="Check Box 19" hidden="1">
          <a:extLst>
            <a:ext uri="{63B3BB69-23CF-44E3-9099-C40C66FF867C}">
              <a14:compatExt xmlns:a14="http://schemas.microsoft.com/office/drawing/2010/main" spid="_x0000_s3091"/>
            </a:ext>
            <a:ext uri="{FF2B5EF4-FFF2-40B4-BE49-F238E27FC236}">
              <a16:creationId xmlns:a16="http://schemas.microsoft.com/office/drawing/2014/main" id="{00000000-0008-0000-0300-00001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11</xdr:row>
      <xdr:rowOff>161925</xdr:rowOff>
    </xdr:from>
    <xdr:to>
      <xdr:col>7</xdr:col>
      <xdr:colOff>66675</xdr:colOff>
      <xdr:row>12</xdr:row>
      <xdr:rowOff>190500</xdr:rowOff>
    </xdr:to>
    <xdr:sp macro="" textlink="">
      <xdr:nvSpPr>
        <xdr:cNvPr id="3092" name="Check Box 20" hidden="1">
          <a:extLst>
            <a:ext uri="{63B3BB69-23CF-44E3-9099-C40C66FF867C}">
              <a14:compatExt xmlns:a14="http://schemas.microsoft.com/office/drawing/2010/main" spid="_x0000_s3092"/>
            </a:ext>
            <a:ext uri="{FF2B5EF4-FFF2-40B4-BE49-F238E27FC236}">
              <a16:creationId xmlns:a16="http://schemas.microsoft.com/office/drawing/2014/main" id="{00000000-0008-0000-0300-00001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16</xdr:row>
      <xdr:rowOff>171450</xdr:rowOff>
    </xdr:from>
    <xdr:to>
      <xdr:col>3</xdr:col>
      <xdr:colOff>76200</xdr:colOff>
      <xdr:row>18</xdr:row>
      <xdr:rowOff>9525</xdr:rowOff>
    </xdr:to>
    <xdr:sp macro="" textlink="">
      <xdr:nvSpPr>
        <xdr:cNvPr id="3094" name="Check Box 22" hidden="1">
          <a:extLst>
            <a:ext uri="{63B3BB69-23CF-44E3-9099-C40C66FF867C}">
              <a14:compatExt xmlns:a14="http://schemas.microsoft.com/office/drawing/2010/main" spid="_x0000_s3094"/>
            </a:ex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13</xdr:row>
      <xdr:rowOff>161925</xdr:rowOff>
    </xdr:from>
    <xdr:to>
      <xdr:col>3</xdr:col>
      <xdr:colOff>76200</xdr:colOff>
      <xdr:row>15</xdr:row>
      <xdr:rowOff>0</xdr:rowOff>
    </xdr:to>
    <xdr:sp macro="" textlink="">
      <xdr:nvSpPr>
        <xdr:cNvPr id="3095" name="Check Box 23" hidden="1">
          <a:extLst>
            <a:ext uri="{63B3BB69-23CF-44E3-9099-C40C66FF867C}">
              <a14:compatExt xmlns:a14="http://schemas.microsoft.com/office/drawing/2010/main" spid="_x0000_s3095"/>
            </a:ext>
            <a:ext uri="{FF2B5EF4-FFF2-40B4-BE49-F238E27FC236}">
              <a16:creationId xmlns:a16="http://schemas.microsoft.com/office/drawing/2014/main" id="{00000000-0008-0000-0300-00001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14</xdr:row>
      <xdr:rowOff>161925</xdr:rowOff>
    </xdr:from>
    <xdr:to>
      <xdr:col>3</xdr:col>
      <xdr:colOff>76200</xdr:colOff>
      <xdr:row>16</xdr:row>
      <xdr:rowOff>0</xdr:rowOff>
    </xdr:to>
    <xdr:sp macro="" textlink="">
      <xdr:nvSpPr>
        <xdr:cNvPr id="3096" name="Check Box 24" hidden="1">
          <a:extLst>
            <a:ext uri="{63B3BB69-23CF-44E3-9099-C40C66FF867C}">
              <a14:compatExt xmlns:a14="http://schemas.microsoft.com/office/drawing/2010/main" spid="_x0000_s3096"/>
            </a:ext>
            <a:ext uri="{FF2B5EF4-FFF2-40B4-BE49-F238E27FC236}">
              <a16:creationId xmlns:a16="http://schemas.microsoft.com/office/drawing/2014/main" id="{00000000-0008-0000-0300-00001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15</xdr:row>
      <xdr:rowOff>171450</xdr:rowOff>
    </xdr:from>
    <xdr:to>
      <xdr:col>3</xdr:col>
      <xdr:colOff>76200</xdr:colOff>
      <xdr:row>17</xdr:row>
      <xdr:rowOff>9525</xdr:rowOff>
    </xdr:to>
    <xdr:sp macro="" textlink="">
      <xdr:nvSpPr>
        <xdr:cNvPr id="3097" name="Check Box 25" hidden="1">
          <a:extLst>
            <a:ext uri="{63B3BB69-23CF-44E3-9099-C40C66FF867C}">
              <a14:compatExt xmlns:a14="http://schemas.microsoft.com/office/drawing/2010/main" spid="_x0000_s3097"/>
            </a:ext>
            <a:ext uri="{FF2B5EF4-FFF2-40B4-BE49-F238E27FC236}">
              <a16:creationId xmlns:a16="http://schemas.microsoft.com/office/drawing/2014/main" id="{00000000-0008-0000-0300-00001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17</xdr:row>
      <xdr:rowOff>171450</xdr:rowOff>
    </xdr:from>
    <xdr:to>
      <xdr:col>3</xdr:col>
      <xdr:colOff>76200</xdr:colOff>
      <xdr:row>19</xdr:row>
      <xdr:rowOff>9525</xdr:rowOff>
    </xdr:to>
    <xdr:sp macro="" textlink="">
      <xdr:nvSpPr>
        <xdr:cNvPr id="3099" name="Check Box 27" hidden="1">
          <a:extLst>
            <a:ext uri="{63B3BB69-23CF-44E3-9099-C40C66FF867C}">
              <a14:compatExt xmlns:a14="http://schemas.microsoft.com/office/drawing/2010/main" spid="_x0000_s3099"/>
            </a:ext>
            <a:ext uri="{FF2B5EF4-FFF2-40B4-BE49-F238E27FC236}">
              <a16:creationId xmlns:a16="http://schemas.microsoft.com/office/drawing/2014/main" id="{00000000-0008-0000-0300-00001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18</xdr:row>
      <xdr:rowOff>161925</xdr:rowOff>
    </xdr:from>
    <xdr:to>
      <xdr:col>3</xdr:col>
      <xdr:colOff>76200</xdr:colOff>
      <xdr:row>20</xdr:row>
      <xdr:rowOff>0</xdr:rowOff>
    </xdr:to>
    <xdr:sp macro="" textlink="">
      <xdr:nvSpPr>
        <xdr:cNvPr id="3100" name="Check Box 28" hidden="1">
          <a:extLst>
            <a:ext uri="{63B3BB69-23CF-44E3-9099-C40C66FF867C}">
              <a14:compatExt xmlns:a14="http://schemas.microsoft.com/office/drawing/2010/main" spid="_x0000_s3100"/>
            </a:ext>
            <a:ext uri="{FF2B5EF4-FFF2-40B4-BE49-F238E27FC236}">
              <a16:creationId xmlns:a16="http://schemas.microsoft.com/office/drawing/2014/main" id="{00000000-0008-0000-0300-00001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19</xdr:row>
      <xdr:rowOff>171450</xdr:rowOff>
    </xdr:from>
    <xdr:to>
      <xdr:col>3</xdr:col>
      <xdr:colOff>76200</xdr:colOff>
      <xdr:row>21</xdr:row>
      <xdr:rowOff>9525</xdr:rowOff>
    </xdr:to>
    <xdr:sp macro="" textlink="">
      <xdr:nvSpPr>
        <xdr:cNvPr id="3101" name="Check Box 29" hidden="1">
          <a:extLst>
            <a:ext uri="{63B3BB69-23CF-44E3-9099-C40C66FF867C}">
              <a14:compatExt xmlns:a14="http://schemas.microsoft.com/office/drawing/2010/main" spid="_x0000_s3101"/>
            </a:ex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20</xdr:row>
      <xdr:rowOff>171450</xdr:rowOff>
    </xdr:from>
    <xdr:to>
      <xdr:col>3</xdr:col>
      <xdr:colOff>76200</xdr:colOff>
      <xdr:row>22</xdr:row>
      <xdr:rowOff>9525</xdr:rowOff>
    </xdr:to>
    <xdr:sp macro="" textlink="">
      <xdr:nvSpPr>
        <xdr:cNvPr id="3102" name="Check Box 30" hidden="1">
          <a:extLst>
            <a:ext uri="{63B3BB69-23CF-44E3-9099-C40C66FF867C}">
              <a14:compatExt xmlns:a14="http://schemas.microsoft.com/office/drawing/2010/main" spid="_x0000_s3102"/>
            </a:ext>
            <a:ext uri="{FF2B5EF4-FFF2-40B4-BE49-F238E27FC236}">
              <a16:creationId xmlns:a16="http://schemas.microsoft.com/office/drawing/2014/main" id="{00000000-0008-0000-0300-00001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21</xdr:row>
      <xdr:rowOff>171450</xdr:rowOff>
    </xdr:from>
    <xdr:to>
      <xdr:col>3</xdr:col>
      <xdr:colOff>76200</xdr:colOff>
      <xdr:row>23</xdr:row>
      <xdr:rowOff>9525</xdr:rowOff>
    </xdr:to>
    <xdr:sp macro="" textlink="">
      <xdr:nvSpPr>
        <xdr:cNvPr id="3103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13</xdr:row>
      <xdr:rowOff>161925</xdr:rowOff>
    </xdr:from>
    <xdr:to>
      <xdr:col>7</xdr:col>
      <xdr:colOff>66675</xdr:colOff>
      <xdr:row>15</xdr:row>
      <xdr:rowOff>0</xdr:rowOff>
    </xdr:to>
    <xdr:sp macro="" textlink="">
      <xdr:nvSpPr>
        <xdr:cNvPr id="3104" name="Check Box 32" hidden="1">
          <a:extLst>
            <a:ext uri="{63B3BB69-23CF-44E3-9099-C40C66FF867C}">
              <a14:compatExt xmlns:a14="http://schemas.microsoft.com/office/drawing/2010/main" spid="_x0000_s3104"/>
            </a:ext>
            <a:ext uri="{FF2B5EF4-FFF2-40B4-BE49-F238E27FC236}">
              <a16:creationId xmlns:a16="http://schemas.microsoft.com/office/drawing/2014/main" id="{00000000-0008-0000-0300-00002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14</xdr:row>
      <xdr:rowOff>161925</xdr:rowOff>
    </xdr:from>
    <xdr:to>
      <xdr:col>7</xdr:col>
      <xdr:colOff>66675</xdr:colOff>
      <xdr:row>16</xdr:row>
      <xdr:rowOff>0</xdr:rowOff>
    </xdr:to>
    <xdr:sp macro="" textlink="">
      <xdr:nvSpPr>
        <xdr:cNvPr id="3105" name="Check Box 33" hidden="1">
          <a:extLst>
            <a:ext uri="{63B3BB69-23CF-44E3-9099-C40C66FF867C}">
              <a14:compatExt xmlns:a14="http://schemas.microsoft.com/office/drawing/2010/main" spid="_x0000_s3105"/>
            </a:ext>
            <a:ext uri="{FF2B5EF4-FFF2-40B4-BE49-F238E27FC236}">
              <a16:creationId xmlns:a16="http://schemas.microsoft.com/office/drawing/2014/main" id="{00000000-0008-0000-0300-00002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15</xdr:row>
      <xdr:rowOff>171450</xdr:rowOff>
    </xdr:from>
    <xdr:to>
      <xdr:col>7</xdr:col>
      <xdr:colOff>66675</xdr:colOff>
      <xdr:row>17</xdr:row>
      <xdr:rowOff>9525</xdr:rowOff>
    </xdr:to>
    <xdr:sp macro="" textlink="">
      <xdr:nvSpPr>
        <xdr:cNvPr id="3106" name="Check Box 34" hidden="1">
          <a:extLst>
            <a:ext uri="{63B3BB69-23CF-44E3-9099-C40C66FF867C}">
              <a14:compatExt xmlns:a14="http://schemas.microsoft.com/office/drawing/2010/main" spid="_x0000_s3106"/>
            </a:ext>
            <a:ext uri="{FF2B5EF4-FFF2-40B4-BE49-F238E27FC236}">
              <a16:creationId xmlns:a16="http://schemas.microsoft.com/office/drawing/2014/main" id="{00000000-0008-0000-0300-00002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16</xdr:row>
      <xdr:rowOff>171450</xdr:rowOff>
    </xdr:from>
    <xdr:to>
      <xdr:col>7</xdr:col>
      <xdr:colOff>66675</xdr:colOff>
      <xdr:row>18</xdr:row>
      <xdr:rowOff>9525</xdr:rowOff>
    </xdr:to>
    <xdr:sp macro="" textlink="">
      <xdr:nvSpPr>
        <xdr:cNvPr id="3107" name="Check Box 35" hidden="1">
          <a:extLst>
            <a:ext uri="{63B3BB69-23CF-44E3-9099-C40C66FF867C}">
              <a14:compatExt xmlns:a14="http://schemas.microsoft.com/office/drawing/2010/main" spid="_x0000_s3107"/>
            </a:ext>
            <a:ext uri="{FF2B5EF4-FFF2-40B4-BE49-F238E27FC236}">
              <a16:creationId xmlns:a16="http://schemas.microsoft.com/office/drawing/2014/main" id="{00000000-0008-0000-0300-00002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17</xdr:row>
      <xdr:rowOff>171450</xdr:rowOff>
    </xdr:from>
    <xdr:to>
      <xdr:col>7</xdr:col>
      <xdr:colOff>66675</xdr:colOff>
      <xdr:row>19</xdr:row>
      <xdr:rowOff>9525</xdr:rowOff>
    </xdr:to>
    <xdr:sp macro="" textlink="">
      <xdr:nvSpPr>
        <xdr:cNvPr id="3108" name="Check Box 36" hidden="1">
          <a:extLst>
            <a:ext uri="{63B3BB69-23CF-44E3-9099-C40C66FF867C}">
              <a14:compatExt xmlns:a14="http://schemas.microsoft.com/office/drawing/2010/main" spid="_x0000_s3108"/>
            </a:ex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18</xdr:row>
      <xdr:rowOff>161925</xdr:rowOff>
    </xdr:from>
    <xdr:to>
      <xdr:col>7</xdr:col>
      <xdr:colOff>66675</xdr:colOff>
      <xdr:row>20</xdr:row>
      <xdr:rowOff>0</xdr:rowOff>
    </xdr:to>
    <xdr:sp macro="" textlink="">
      <xdr:nvSpPr>
        <xdr:cNvPr id="3109" name="Check Box 37" hidden="1">
          <a:extLst>
            <a:ext uri="{63B3BB69-23CF-44E3-9099-C40C66FF867C}">
              <a14:compatExt xmlns:a14="http://schemas.microsoft.com/office/drawing/2010/main" spid="_x0000_s3109"/>
            </a:ext>
            <a:ext uri="{FF2B5EF4-FFF2-40B4-BE49-F238E27FC236}">
              <a16:creationId xmlns:a16="http://schemas.microsoft.com/office/drawing/2014/main" id="{00000000-0008-0000-0300-00002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19</xdr:row>
      <xdr:rowOff>161925</xdr:rowOff>
    </xdr:from>
    <xdr:to>
      <xdr:col>7</xdr:col>
      <xdr:colOff>66675</xdr:colOff>
      <xdr:row>21</xdr:row>
      <xdr:rowOff>0</xdr:rowOff>
    </xdr:to>
    <xdr:sp macro="" textlink="">
      <xdr:nvSpPr>
        <xdr:cNvPr id="3110" name="Check Box 38" hidden="1">
          <a:extLst>
            <a:ext uri="{63B3BB69-23CF-44E3-9099-C40C66FF867C}">
              <a14:compatExt xmlns:a14="http://schemas.microsoft.com/office/drawing/2010/main" spid="_x0000_s3110"/>
            </a:ext>
            <a:ext uri="{FF2B5EF4-FFF2-40B4-BE49-F238E27FC236}">
              <a16:creationId xmlns:a16="http://schemas.microsoft.com/office/drawing/2014/main" id="{00000000-0008-0000-0300-00002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20</xdr:row>
      <xdr:rowOff>161925</xdr:rowOff>
    </xdr:from>
    <xdr:to>
      <xdr:col>7</xdr:col>
      <xdr:colOff>66675</xdr:colOff>
      <xdr:row>22</xdr:row>
      <xdr:rowOff>0</xdr:rowOff>
    </xdr:to>
    <xdr:sp macro="" textlink="">
      <xdr:nvSpPr>
        <xdr:cNvPr id="3111" name="Check Box 39" hidden="1">
          <a:extLst>
            <a:ext uri="{63B3BB69-23CF-44E3-9099-C40C66FF867C}">
              <a14:compatExt xmlns:a14="http://schemas.microsoft.com/office/drawing/2010/main" spid="_x0000_s3111"/>
            </a:ext>
            <a:ext uri="{FF2B5EF4-FFF2-40B4-BE49-F238E27FC236}">
              <a16:creationId xmlns:a16="http://schemas.microsoft.com/office/drawing/2014/main" id="{00000000-0008-0000-0300-00002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21</xdr:row>
      <xdr:rowOff>161925</xdr:rowOff>
    </xdr:from>
    <xdr:to>
      <xdr:col>7</xdr:col>
      <xdr:colOff>66675</xdr:colOff>
      <xdr:row>23</xdr:row>
      <xdr:rowOff>0</xdr:rowOff>
    </xdr:to>
    <xdr:sp macro="" textlink="">
      <xdr:nvSpPr>
        <xdr:cNvPr id="311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12</xdr:row>
      <xdr:rowOff>180975</xdr:rowOff>
    </xdr:from>
    <xdr:to>
      <xdr:col>3</xdr:col>
      <xdr:colOff>66675</xdr:colOff>
      <xdr:row>13</xdr:row>
      <xdr:rowOff>180975</xdr:rowOff>
    </xdr:to>
    <xdr:sp macro="" textlink="">
      <xdr:nvSpPr>
        <xdr:cNvPr id="3113" name="Check Box 41" hidden="1">
          <a:extLst>
            <a:ext uri="{63B3BB69-23CF-44E3-9099-C40C66FF867C}">
              <a14:compatExt xmlns:a14="http://schemas.microsoft.com/office/drawing/2010/main" spid="_x0000_s3113"/>
            </a:ext>
            <a:ext uri="{FF2B5EF4-FFF2-40B4-BE49-F238E27FC236}">
              <a16:creationId xmlns:a16="http://schemas.microsoft.com/office/drawing/2014/main" id="{00000000-0008-0000-0300-00002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12</xdr:row>
      <xdr:rowOff>200025</xdr:rowOff>
    </xdr:from>
    <xdr:to>
      <xdr:col>7</xdr:col>
      <xdr:colOff>66675</xdr:colOff>
      <xdr:row>14</xdr:row>
      <xdr:rowOff>9525</xdr:rowOff>
    </xdr:to>
    <xdr:sp macro="" textlink="">
      <xdr:nvSpPr>
        <xdr:cNvPr id="3114" name="Check Box 42" hidden="1">
          <a:extLst>
            <a:ext uri="{63B3BB69-23CF-44E3-9099-C40C66FF867C}">
              <a14:compatExt xmlns:a14="http://schemas.microsoft.com/office/drawing/2010/main" spid="_x0000_s3114"/>
            </a:ext>
            <a:ext uri="{FF2B5EF4-FFF2-40B4-BE49-F238E27FC236}">
              <a16:creationId xmlns:a16="http://schemas.microsoft.com/office/drawing/2014/main" id="{00000000-0008-0000-0300-00002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757239</xdr:colOff>
      <xdr:row>2</xdr:row>
      <xdr:rowOff>171451</xdr:rowOff>
    </xdr:from>
    <xdr:to>
      <xdr:col>15</xdr:col>
      <xdr:colOff>19050</xdr:colOff>
      <xdr:row>12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16</xdr:row>
      <xdr:rowOff>9525</xdr:rowOff>
    </xdr:from>
    <xdr:to>
      <xdr:col>15</xdr:col>
      <xdr:colOff>42862</xdr:colOff>
      <xdr:row>25</xdr:row>
      <xdr:rowOff>66676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</xdr:row>
          <xdr:rowOff>161925</xdr:rowOff>
        </xdr:from>
        <xdr:to>
          <xdr:col>3</xdr:col>
          <xdr:colOff>85725</xdr:colOff>
          <xdr:row>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171450</xdr:rowOff>
        </xdr:from>
        <xdr:to>
          <xdr:col>3</xdr:col>
          <xdr:colOff>76200</xdr:colOff>
          <xdr:row>8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</xdr:row>
          <xdr:rowOff>285750</xdr:rowOff>
        </xdr:from>
        <xdr:to>
          <xdr:col>3</xdr:col>
          <xdr:colOff>85725</xdr:colOff>
          <xdr:row>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9525</xdr:rowOff>
        </xdr:from>
        <xdr:to>
          <xdr:col>3</xdr:col>
          <xdr:colOff>76200</xdr:colOff>
          <xdr:row>5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171450</xdr:rowOff>
        </xdr:from>
        <xdr:to>
          <xdr:col>3</xdr:col>
          <xdr:colOff>76200</xdr:colOff>
          <xdr:row>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</xdr:row>
          <xdr:rowOff>171450</xdr:rowOff>
        </xdr:from>
        <xdr:to>
          <xdr:col>7</xdr:col>
          <xdr:colOff>66675</xdr:colOff>
          <xdr:row>4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171450</xdr:rowOff>
        </xdr:from>
        <xdr:to>
          <xdr:col>3</xdr:col>
          <xdr:colOff>76200</xdr:colOff>
          <xdr:row>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161925</xdr:rowOff>
        </xdr:from>
        <xdr:to>
          <xdr:col>3</xdr:col>
          <xdr:colOff>76200</xdr:colOff>
          <xdr:row>10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171450</xdr:rowOff>
        </xdr:from>
        <xdr:to>
          <xdr:col>3</xdr:col>
          <xdr:colOff>76200</xdr:colOff>
          <xdr:row>11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171450</xdr:rowOff>
        </xdr:from>
        <xdr:to>
          <xdr:col>3</xdr:col>
          <xdr:colOff>76200</xdr:colOff>
          <xdr:row>12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171450</xdr:rowOff>
        </xdr:from>
        <xdr:to>
          <xdr:col>3</xdr:col>
          <xdr:colOff>76200</xdr:colOff>
          <xdr:row>12</xdr:row>
          <xdr:rowOff>200025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</xdr:row>
          <xdr:rowOff>180975</xdr:rowOff>
        </xdr:from>
        <xdr:to>
          <xdr:col>7</xdr:col>
          <xdr:colOff>66675</xdr:colOff>
          <xdr:row>5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161925</xdr:rowOff>
        </xdr:from>
        <xdr:to>
          <xdr:col>7</xdr:col>
          <xdr:colOff>66675</xdr:colOff>
          <xdr:row>6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171450</xdr:rowOff>
        </xdr:from>
        <xdr:to>
          <xdr:col>7</xdr:col>
          <xdr:colOff>66675</xdr:colOff>
          <xdr:row>7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</xdr:row>
          <xdr:rowOff>171450</xdr:rowOff>
        </xdr:from>
        <xdr:to>
          <xdr:col>7</xdr:col>
          <xdr:colOff>66675</xdr:colOff>
          <xdr:row>8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</xdr:row>
          <xdr:rowOff>171450</xdr:rowOff>
        </xdr:from>
        <xdr:to>
          <xdr:col>7</xdr:col>
          <xdr:colOff>66675</xdr:colOff>
          <xdr:row>9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</xdr:row>
          <xdr:rowOff>161925</xdr:rowOff>
        </xdr:from>
        <xdr:to>
          <xdr:col>7</xdr:col>
          <xdr:colOff>66675</xdr:colOff>
          <xdr:row>10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</xdr:row>
          <xdr:rowOff>161925</xdr:rowOff>
        </xdr:from>
        <xdr:to>
          <xdr:col>7</xdr:col>
          <xdr:colOff>66675</xdr:colOff>
          <xdr:row>11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</xdr:row>
          <xdr:rowOff>161925</xdr:rowOff>
        </xdr:from>
        <xdr:to>
          <xdr:col>7</xdr:col>
          <xdr:colOff>66675</xdr:colOff>
          <xdr:row>12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</xdr:row>
          <xdr:rowOff>161925</xdr:rowOff>
        </xdr:from>
        <xdr:to>
          <xdr:col>7</xdr:col>
          <xdr:colOff>66675</xdr:colOff>
          <xdr:row>12</xdr:row>
          <xdr:rowOff>190500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171450</xdr:rowOff>
        </xdr:from>
        <xdr:to>
          <xdr:col>3</xdr:col>
          <xdr:colOff>76200</xdr:colOff>
          <xdr:row>18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161925</xdr:rowOff>
        </xdr:from>
        <xdr:to>
          <xdr:col>3</xdr:col>
          <xdr:colOff>76200</xdr:colOff>
          <xdr:row>15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161925</xdr:rowOff>
        </xdr:from>
        <xdr:to>
          <xdr:col>3</xdr:col>
          <xdr:colOff>76200</xdr:colOff>
          <xdr:row>16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171450</xdr:rowOff>
        </xdr:from>
        <xdr:to>
          <xdr:col>3</xdr:col>
          <xdr:colOff>76200</xdr:colOff>
          <xdr:row>17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171450</xdr:rowOff>
        </xdr:from>
        <xdr:to>
          <xdr:col>3</xdr:col>
          <xdr:colOff>76200</xdr:colOff>
          <xdr:row>19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3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161925</xdr:rowOff>
        </xdr:from>
        <xdr:to>
          <xdr:col>3</xdr:col>
          <xdr:colOff>76200</xdr:colOff>
          <xdr:row>20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3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171450</xdr:rowOff>
        </xdr:from>
        <xdr:to>
          <xdr:col>3</xdr:col>
          <xdr:colOff>76200</xdr:colOff>
          <xdr:row>21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3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</xdr:row>
          <xdr:rowOff>171450</xdr:rowOff>
        </xdr:from>
        <xdr:to>
          <xdr:col>3</xdr:col>
          <xdr:colOff>76200</xdr:colOff>
          <xdr:row>22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3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171450</xdr:rowOff>
        </xdr:from>
        <xdr:to>
          <xdr:col>3</xdr:col>
          <xdr:colOff>76200</xdr:colOff>
          <xdr:row>23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3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13</xdr:row>
          <xdr:rowOff>161925</xdr:rowOff>
        </xdr:from>
        <xdr:to>
          <xdr:col>7</xdr:col>
          <xdr:colOff>66675</xdr:colOff>
          <xdr:row>15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3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14</xdr:row>
          <xdr:rowOff>161925</xdr:rowOff>
        </xdr:from>
        <xdr:to>
          <xdr:col>7</xdr:col>
          <xdr:colOff>66675</xdr:colOff>
          <xdr:row>16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3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15</xdr:row>
          <xdr:rowOff>171450</xdr:rowOff>
        </xdr:from>
        <xdr:to>
          <xdr:col>7</xdr:col>
          <xdr:colOff>66675</xdr:colOff>
          <xdr:row>17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3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16</xdr:row>
          <xdr:rowOff>171450</xdr:rowOff>
        </xdr:from>
        <xdr:to>
          <xdr:col>7</xdr:col>
          <xdr:colOff>66675</xdr:colOff>
          <xdr:row>18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3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17</xdr:row>
          <xdr:rowOff>171450</xdr:rowOff>
        </xdr:from>
        <xdr:to>
          <xdr:col>7</xdr:col>
          <xdr:colOff>66675</xdr:colOff>
          <xdr:row>19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3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18</xdr:row>
          <xdr:rowOff>161925</xdr:rowOff>
        </xdr:from>
        <xdr:to>
          <xdr:col>7</xdr:col>
          <xdr:colOff>66675</xdr:colOff>
          <xdr:row>20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3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19</xdr:row>
          <xdr:rowOff>161925</xdr:rowOff>
        </xdr:from>
        <xdr:to>
          <xdr:col>7</xdr:col>
          <xdr:colOff>66675</xdr:colOff>
          <xdr:row>21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3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20</xdr:row>
          <xdr:rowOff>161925</xdr:rowOff>
        </xdr:from>
        <xdr:to>
          <xdr:col>7</xdr:col>
          <xdr:colOff>66675</xdr:colOff>
          <xdr:row>22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3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21</xdr:row>
          <xdr:rowOff>161925</xdr:rowOff>
        </xdr:from>
        <xdr:to>
          <xdr:col>7</xdr:col>
          <xdr:colOff>66675</xdr:colOff>
          <xdr:row>23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3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180975</xdr:rowOff>
        </xdr:from>
        <xdr:to>
          <xdr:col>3</xdr:col>
          <xdr:colOff>66675</xdr:colOff>
          <xdr:row>13</xdr:row>
          <xdr:rowOff>180975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3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12</xdr:row>
          <xdr:rowOff>200025</xdr:rowOff>
        </xdr:from>
        <xdr:to>
          <xdr:col>7</xdr:col>
          <xdr:colOff>66675</xdr:colOff>
          <xdr:row>14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3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28575</xdr:colOff>
      <xdr:row>3</xdr:row>
      <xdr:rowOff>161925</xdr:rowOff>
    </xdr:from>
    <xdr:to>
      <xdr:col>3</xdr:col>
      <xdr:colOff>85725</xdr:colOff>
      <xdr:row>5</xdr:row>
      <xdr:rowOff>0</xdr:rowOff>
    </xdr:to>
    <xdr:sp macro="" textlink="">
      <xdr:nvSpPr>
        <xdr:cNvPr id="8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4000000}"/>
            </a:ext>
            <a:ext uri="{147F2762-F138-4A5C-976F-8EAC2B608ADB}">
              <a16:predDERef xmlns:a16="http://schemas.microsoft.com/office/drawing/2014/main" pred="{00000000-0008-0000-0400-000028040000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</xdr:row>
      <xdr:rowOff>161925</xdr:rowOff>
    </xdr:from>
    <xdr:to>
      <xdr:col>3</xdr:col>
      <xdr:colOff>76200</xdr:colOff>
      <xdr:row>6</xdr:row>
      <xdr:rowOff>0</xdr:rowOff>
    </xdr:to>
    <xdr:sp macro="" textlink="">
      <xdr:nvSpPr>
        <xdr:cNvPr id="8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5000000}"/>
            </a:ext>
            <a:ext uri="{147F2762-F138-4A5C-976F-8EAC2B608ADB}">
              <a16:predDERef xmlns:a16="http://schemas.microsoft.com/office/drawing/2014/main" pred="{D68D9847-8101-4D50-828A-B61CBBDF68E9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</xdr:row>
      <xdr:rowOff>161925</xdr:rowOff>
    </xdr:from>
    <xdr:to>
      <xdr:col>3</xdr:col>
      <xdr:colOff>85725</xdr:colOff>
      <xdr:row>6</xdr:row>
      <xdr:rowOff>0</xdr:rowOff>
    </xdr:to>
    <xdr:sp macro="" textlink="">
      <xdr:nvSpPr>
        <xdr:cNvPr id="8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6000000}"/>
            </a:ext>
            <a:ext uri="{147F2762-F138-4A5C-976F-8EAC2B608ADB}">
              <a16:predDERef xmlns:a16="http://schemas.microsoft.com/office/drawing/2014/main" pred="{D98F8926-4795-431A-AE83-95195F30CCAA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</xdr:row>
      <xdr:rowOff>161925</xdr:rowOff>
    </xdr:from>
    <xdr:to>
      <xdr:col>3</xdr:col>
      <xdr:colOff>76200</xdr:colOff>
      <xdr:row>7</xdr:row>
      <xdr:rowOff>0</xdr:rowOff>
    </xdr:to>
    <xdr:sp macro="" textlink="">
      <xdr:nvSpPr>
        <xdr:cNvPr id="8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7000000}"/>
            </a:ext>
            <a:ext uri="{147F2762-F138-4A5C-976F-8EAC2B608ADB}">
              <a16:predDERef xmlns:a16="http://schemas.microsoft.com/office/drawing/2014/main" pred="{4B6BFBE5-06E9-402D-8299-083C34642423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</xdr:row>
      <xdr:rowOff>161925</xdr:rowOff>
    </xdr:from>
    <xdr:to>
      <xdr:col>3</xdr:col>
      <xdr:colOff>85725</xdr:colOff>
      <xdr:row>7</xdr:row>
      <xdr:rowOff>0</xdr:rowOff>
    </xdr:to>
    <xdr:sp macro="" textlink="">
      <xdr:nvSpPr>
        <xdr:cNvPr id="8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8000000}"/>
            </a:ext>
            <a:ext uri="{147F2762-F138-4A5C-976F-8EAC2B608ADB}">
              <a16:predDERef xmlns:a16="http://schemas.microsoft.com/office/drawing/2014/main" pred="{260305C7-1199-4683-8208-EB5C82770C1C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</xdr:row>
      <xdr:rowOff>161925</xdr:rowOff>
    </xdr:from>
    <xdr:to>
      <xdr:col>3</xdr:col>
      <xdr:colOff>76200</xdr:colOff>
      <xdr:row>8</xdr:row>
      <xdr:rowOff>0</xdr:rowOff>
    </xdr:to>
    <xdr:sp macro="" textlink="">
      <xdr:nvSpPr>
        <xdr:cNvPr id="8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9000000}"/>
            </a:ext>
            <a:ext uri="{147F2762-F138-4A5C-976F-8EAC2B608ADB}">
              <a16:predDERef xmlns:a16="http://schemas.microsoft.com/office/drawing/2014/main" pred="{57C3D3BF-0D56-469B-8506-B5C145DDCAC7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</xdr:row>
      <xdr:rowOff>161925</xdr:rowOff>
    </xdr:from>
    <xdr:to>
      <xdr:col>3</xdr:col>
      <xdr:colOff>85725</xdr:colOff>
      <xdr:row>8</xdr:row>
      <xdr:rowOff>0</xdr:rowOff>
    </xdr:to>
    <xdr:sp macro="" textlink="">
      <xdr:nvSpPr>
        <xdr:cNvPr id="9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A000000}"/>
            </a:ext>
            <a:ext uri="{147F2762-F138-4A5C-976F-8EAC2B608ADB}">
              <a16:predDERef xmlns:a16="http://schemas.microsoft.com/office/drawing/2014/main" pred="{41531536-82FA-40E5-9F9B-21BDED47CB48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</xdr:row>
      <xdr:rowOff>161925</xdr:rowOff>
    </xdr:from>
    <xdr:to>
      <xdr:col>3</xdr:col>
      <xdr:colOff>76200</xdr:colOff>
      <xdr:row>9</xdr:row>
      <xdr:rowOff>0</xdr:rowOff>
    </xdr:to>
    <xdr:sp macro="" textlink="">
      <xdr:nvSpPr>
        <xdr:cNvPr id="9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B000000}"/>
            </a:ext>
            <a:ext uri="{147F2762-F138-4A5C-976F-8EAC2B608ADB}">
              <a16:predDERef xmlns:a16="http://schemas.microsoft.com/office/drawing/2014/main" pred="{06F1D591-C0ED-4475-8CBD-30252B1C6BCC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</xdr:row>
      <xdr:rowOff>161925</xdr:rowOff>
    </xdr:from>
    <xdr:to>
      <xdr:col>3</xdr:col>
      <xdr:colOff>85725</xdr:colOff>
      <xdr:row>9</xdr:row>
      <xdr:rowOff>0</xdr:rowOff>
    </xdr:to>
    <xdr:sp macro="" textlink="">
      <xdr:nvSpPr>
        <xdr:cNvPr id="9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C000000}"/>
            </a:ext>
            <a:ext uri="{147F2762-F138-4A5C-976F-8EAC2B608ADB}">
              <a16:predDERef xmlns:a16="http://schemas.microsoft.com/office/drawing/2014/main" pred="{651F72F8-2768-46FB-80B8-6A334518ECDE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</xdr:row>
      <xdr:rowOff>161925</xdr:rowOff>
    </xdr:from>
    <xdr:to>
      <xdr:col>3</xdr:col>
      <xdr:colOff>76200</xdr:colOff>
      <xdr:row>10</xdr:row>
      <xdr:rowOff>0</xdr:rowOff>
    </xdr:to>
    <xdr:sp macro="" textlink="">
      <xdr:nvSpPr>
        <xdr:cNvPr id="9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D000000}"/>
            </a:ext>
            <a:ext uri="{147F2762-F138-4A5C-976F-8EAC2B608ADB}">
              <a16:predDERef xmlns:a16="http://schemas.microsoft.com/office/drawing/2014/main" pred="{2C4460A9-14D9-4B6D-9EF0-EC96A9FFCF01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</xdr:row>
      <xdr:rowOff>161925</xdr:rowOff>
    </xdr:from>
    <xdr:to>
      <xdr:col>3</xdr:col>
      <xdr:colOff>85725</xdr:colOff>
      <xdr:row>10</xdr:row>
      <xdr:rowOff>0</xdr:rowOff>
    </xdr:to>
    <xdr:sp macro="" textlink="">
      <xdr:nvSpPr>
        <xdr:cNvPr id="9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E000000}"/>
            </a:ext>
            <a:ext uri="{147F2762-F138-4A5C-976F-8EAC2B608ADB}">
              <a16:predDERef xmlns:a16="http://schemas.microsoft.com/office/drawing/2014/main" pred="{8AD329B2-C863-48F9-B07C-AC81BAAAA0BF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9</xdr:row>
      <xdr:rowOff>161925</xdr:rowOff>
    </xdr:from>
    <xdr:to>
      <xdr:col>3</xdr:col>
      <xdr:colOff>76200</xdr:colOff>
      <xdr:row>11</xdr:row>
      <xdr:rowOff>0</xdr:rowOff>
    </xdr:to>
    <xdr:sp macro="" textlink="">
      <xdr:nvSpPr>
        <xdr:cNvPr id="9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F000000}"/>
            </a:ext>
            <a:ext uri="{147F2762-F138-4A5C-976F-8EAC2B608ADB}">
              <a16:predDERef xmlns:a16="http://schemas.microsoft.com/office/drawing/2014/main" pred="{8A848D53-6501-4132-84F2-CB443A99EBD9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9</xdr:row>
      <xdr:rowOff>161925</xdr:rowOff>
    </xdr:from>
    <xdr:to>
      <xdr:col>3</xdr:col>
      <xdr:colOff>85725</xdr:colOff>
      <xdr:row>11</xdr:row>
      <xdr:rowOff>0</xdr:rowOff>
    </xdr:to>
    <xdr:sp macro="" textlink="">
      <xdr:nvSpPr>
        <xdr:cNvPr id="9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0000000}"/>
            </a:ext>
            <a:ext uri="{147F2762-F138-4A5C-976F-8EAC2B608ADB}">
              <a16:predDERef xmlns:a16="http://schemas.microsoft.com/office/drawing/2014/main" pred="{82E220D3-0F6F-48EA-BE23-513542F2717B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10</xdr:row>
      <xdr:rowOff>161925</xdr:rowOff>
    </xdr:from>
    <xdr:to>
      <xdr:col>3</xdr:col>
      <xdr:colOff>76200</xdr:colOff>
      <xdr:row>12</xdr:row>
      <xdr:rowOff>0</xdr:rowOff>
    </xdr:to>
    <xdr:sp macro="" textlink="">
      <xdr:nvSpPr>
        <xdr:cNvPr id="9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1000000}"/>
            </a:ext>
            <a:ext uri="{147F2762-F138-4A5C-976F-8EAC2B608ADB}">
              <a16:predDERef xmlns:a16="http://schemas.microsoft.com/office/drawing/2014/main" pred="{E2D7CBA3-551A-43C5-B56D-913EC5CCD6D8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10</xdr:row>
      <xdr:rowOff>161925</xdr:rowOff>
    </xdr:from>
    <xdr:to>
      <xdr:col>3</xdr:col>
      <xdr:colOff>85725</xdr:colOff>
      <xdr:row>12</xdr:row>
      <xdr:rowOff>0</xdr:rowOff>
    </xdr:to>
    <xdr:sp macro="" textlink="">
      <xdr:nvSpPr>
        <xdr:cNvPr id="9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2000000}"/>
            </a:ext>
            <a:ext uri="{147F2762-F138-4A5C-976F-8EAC2B608ADB}">
              <a16:predDERef xmlns:a16="http://schemas.microsoft.com/office/drawing/2014/main" pred="{3045A28E-6F78-4C5C-8EF6-44991CF2AE2E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11</xdr:row>
      <xdr:rowOff>161925</xdr:rowOff>
    </xdr:from>
    <xdr:to>
      <xdr:col>3</xdr:col>
      <xdr:colOff>76200</xdr:colOff>
      <xdr:row>12</xdr:row>
      <xdr:rowOff>190500</xdr:rowOff>
    </xdr:to>
    <xdr:sp macro="" textlink="">
      <xdr:nvSpPr>
        <xdr:cNvPr id="9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3000000}"/>
            </a:ext>
            <a:ext uri="{147F2762-F138-4A5C-976F-8EAC2B608ADB}">
              <a16:predDERef xmlns:a16="http://schemas.microsoft.com/office/drawing/2014/main" pred="{5F50C83D-5E27-4E51-8FCD-882F4E26862B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11</xdr:row>
      <xdr:rowOff>161925</xdr:rowOff>
    </xdr:from>
    <xdr:to>
      <xdr:col>3</xdr:col>
      <xdr:colOff>85725</xdr:colOff>
      <xdr:row>12</xdr:row>
      <xdr:rowOff>190500</xdr:rowOff>
    </xdr:to>
    <xdr:sp macro="" textlink="">
      <xdr:nvSpPr>
        <xdr:cNvPr id="10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4000000}"/>
            </a:ext>
            <a:ext uri="{147F2762-F138-4A5C-976F-8EAC2B608ADB}">
              <a16:predDERef xmlns:a16="http://schemas.microsoft.com/office/drawing/2014/main" pred="{D52ECBD3-FBEF-4EC6-AE7A-6D192539D908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12</xdr:row>
      <xdr:rowOff>161925</xdr:rowOff>
    </xdr:from>
    <xdr:to>
      <xdr:col>3</xdr:col>
      <xdr:colOff>76200</xdr:colOff>
      <xdr:row>13</xdr:row>
      <xdr:rowOff>161925</xdr:rowOff>
    </xdr:to>
    <xdr:sp macro="" textlink="">
      <xdr:nvSpPr>
        <xdr:cNvPr id="10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5000000}"/>
            </a:ext>
            <a:ext uri="{147F2762-F138-4A5C-976F-8EAC2B608ADB}">
              <a16:predDERef xmlns:a16="http://schemas.microsoft.com/office/drawing/2014/main" pred="{224C5D12-9B8A-4FD2-9D04-65510AA9983A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12</xdr:row>
      <xdr:rowOff>161925</xdr:rowOff>
    </xdr:from>
    <xdr:to>
      <xdr:col>3</xdr:col>
      <xdr:colOff>85725</xdr:colOff>
      <xdr:row>13</xdr:row>
      <xdr:rowOff>161925</xdr:rowOff>
    </xdr:to>
    <xdr:sp macro="" textlink="">
      <xdr:nvSpPr>
        <xdr:cNvPr id="10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6000000}"/>
            </a:ext>
            <a:ext uri="{147F2762-F138-4A5C-976F-8EAC2B608ADB}">
              <a16:predDERef xmlns:a16="http://schemas.microsoft.com/office/drawing/2014/main" pred="{13DFADDF-F5E7-4D43-8D0F-02B90891E1BB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13</xdr:row>
      <xdr:rowOff>161925</xdr:rowOff>
    </xdr:from>
    <xdr:to>
      <xdr:col>3</xdr:col>
      <xdr:colOff>76200</xdr:colOff>
      <xdr:row>15</xdr:row>
      <xdr:rowOff>0</xdr:rowOff>
    </xdr:to>
    <xdr:sp macro="" textlink="">
      <xdr:nvSpPr>
        <xdr:cNvPr id="10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7000000}"/>
            </a:ext>
            <a:ext uri="{147F2762-F138-4A5C-976F-8EAC2B608ADB}">
              <a16:predDERef xmlns:a16="http://schemas.microsoft.com/office/drawing/2014/main" pred="{D153FFBC-75FD-4D12-82F8-E30EB3E9481B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13</xdr:row>
      <xdr:rowOff>161925</xdr:rowOff>
    </xdr:from>
    <xdr:to>
      <xdr:col>3</xdr:col>
      <xdr:colOff>85725</xdr:colOff>
      <xdr:row>15</xdr:row>
      <xdr:rowOff>0</xdr:rowOff>
    </xdr:to>
    <xdr:sp macro="" textlink="">
      <xdr:nvSpPr>
        <xdr:cNvPr id="10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8000000}"/>
            </a:ext>
            <a:ext uri="{147F2762-F138-4A5C-976F-8EAC2B608ADB}">
              <a16:predDERef xmlns:a16="http://schemas.microsoft.com/office/drawing/2014/main" pred="{9C34D2D0-2911-455D-81EF-D9E6DE7A638F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14</xdr:row>
      <xdr:rowOff>161925</xdr:rowOff>
    </xdr:from>
    <xdr:to>
      <xdr:col>3</xdr:col>
      <xdr:colOff>76200</xdr:colOff>
      <xdr:row>16</xdr:row>
      <xdr:rowOff>0</xdr:rowOff>
    </xdr:to>
    <xdr:sp macro="" textlink="">
      <xdr:nvSpPr>
        <xdr:cNvPr id="10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9000000}"/>
            </a:ext>
            <a:ext uri="{147F2762-F138-4A5C-976F-8EAC2B608ADB}">
              <a16:predDERef xmlns:a16="http://schemas.microsoft.com/office/drawing/2014/main" pred="{0EE77B24-2E6C-4C37-932A-56DB8DA024E4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14</xdr:row>
      <xdr:rowOff>161925</xdr:rowOff>
    </xdr:from>
    <xdr:to>
      <xdr:col>3</xdr:col>
      <xdr:colOff>85725</xdr:colOff>
      <xdr:row>16</xdr:row>
      <xdr:rowOff>0</xdr:rowOff>
    </xdr:to>
    <xdr:sp macro="" textlink="">
      <xdr:nvSpPr>
        <xdr:cNvPr id="10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A000000}"/>
            </a:ext>
            <a:ext uri="{147F2762-F138-4A5C-976F-8EAC2B608ADB}">
              <a16:predDERef xmlns:a16="http://schemas.microsoft.com/office/drawing/2014/main" pred="{324CDD17-5E13-440A-A7DA-1D8825AB720D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15</xdr:row>
      <xdr:rowOff>161925</xdr:rowOff>
    </xdr:from>
    <xdr:to>
      <xdr:col>3</xdr:col>
      <xdr:colOff>76200</xdr:colOff>
      <xdr:row>17</xdr:row>
      <xdr:rowOff>0</xdr:rowOff>
    </xdr:to>
    <xdr:sp macro="" textlink="">
      <xdr:nvSpPr>
        <xdr:cNvPr id="10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B000000}"/>
            </a:ext>
            <a:ext uri="{147F2762-F138-4A5C-976F-8EAC2B608ADB}">
              <a16:predDERef xmlns:a16="http://schemas.microsoft.com/office/drawing/2014/main" pred="{24B59EC6-E144-475F-9F18-23C39F999C31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15</xdr:row>
      <xdr:rowOff>161925</xdr:rowOff>
    </xdr:from>
    <xdr:to>
      <xdr:col>3</xdr:col>
      <xdr:colOff>85725</xdr:colOff>
      <xdr:row>17</xdr:row>
      <xdr:rowOff>0</xdr:rowOff>
    </xdr:to>
    <xdr:sp macro="" textlink="">
      <xdr:nvSpPr>
        <xdr:cNvPr id="10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C000000}"/>
            </a:ext>
            <a:ext uri="{147F2762-F138-4A5C-976F-8EAC2B608ADB}">
              <a16:predDERef xmlns:a16="http://schemas.microsoft.com/office/drawing/2014/main" pred="{75B51F03-3DB3-4E68-9399-1564C65D730B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16</xdr:row>
      <xdr:rowOff>161925</xdr:rowOff>
    </xdr:from>
    <xdr:to>
      <xdr:col>3</xdr:col>
      <xdr:colOff>76200</xdr:colOff>
      <xdr:row>18</xdr:row>
      <xdr:rowOff>0</xdr:rowOff>
    </xdr:to>
    <xdr:sp macro="" textlink="">
      <xdr:nvSpPr>
        <xdr:cNvPr id="10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D000000}"/>
            </a:ext>
            <a:ext uri="{147F2762-F138-4A5C-976F-8EAC2B608ADB}">
              <a16:predDERef xmlns:a16="http://schemas.microsoft.com/office/drawing/2014/main" pred="{E1BB0C71-B557-4FF4-9E67-0D65BD764539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16</xdr:row>
      <xdr:rowOff>161925</xdr:rowOff>
    </xdr:from>
    <xdr:to>
      <xdr:col>3</xdr:col>
      <xdr:colOff>85725</xdr:colOff>
      <xdr:row>18</xdr:row>
      <xdr:rowOff>0</xdr:rowOff>
    </xdr:to>
    <xdr:sp macro="" textlink="">
      <xdr:nvSpPr>
        <xdr:cNvPr id="11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E000000}"/>
            </a:ext>
            <a:ext uri="{147F2762-F138-4A5C-976F-8EAC2B608ADB}">
              <a16:predDERef xmlns:a16="http://schemas.microsoft.com/office/drawing/2014/main" pred="{A9C43E14-A493-4577-9E97-1B617DA1F032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17</xdr:row>
      <xdr:rowOff>161925</xdr:rowOff>
    </xdr:from>
    <xdr:to>
      <xdr:col>3</xdr:col>
      <xdr:colOff>76200</xdr:colOff>
      <xdr:row>19</xdr:row>
      <xdr:rowOff>0</xdr:rowOff>
    </xdr:to>
    <xdr:sp macro="" textlink="">
      <xdr:nvSpPr>
        <xdr:cNvPr id="11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F000000}"/>
            </a:ext>
            <a:ext uri="{147F2762-F138-4A5C-976F-8EAC2B608ADB}">
              <a16:predDERef xmlns:a16="http://schemas.microsoft.com/office/drawing/2014/main" pred="{5AC0F792-BD45-4C31-AAD4-FEFC76DAD996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17</xdr:row>
      <xdr:rowOff>161925</xdr:rowOff>
    </xdr:from>
    <xdr:to>
      <xdr:col>3</xdr:col>
      <xdr:colOff>85725</xdr:colOff>
      <xdr:row>19</xdr:row>
      <xdr:rowOff>0</xdr:rowOff>
    </xdr:to>
    <xdr:sp macro="" textlink="">
      <xdr:nvSpPr>
        <xdr:cNvPr id="11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0000000}"/>
            </a:ext>
            <a:ext uri="{147F2762-F138-4A5C-976F-8EAC2B608ADB}">
              <a16:predDERef xmlns:a16="http://schemas.microsoft.com/office/drawing/2014/main" pred="{0CF8A77B-3539-4F4C-A247-34ACD9658580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18</xdr:row>
      <xdr:rowOff>161925</xdr:rowOff>
    </xdr:from>
    <xdr:to>
      <xdr:col>3</xdr:col>
      <xdr:colOff>76200</xdr:colOff>
      <xdr:row>20</xdr:row>
      <xdr:rowOff>0</xdr:rowOff>
    </xdr:to>
    <xdr:sp macro="" textlink="">
      <xdr:nvSpPr>
        <xdr:cNvPr id="11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1000000}"/>
            </a:ext>
            <a:ext uri="{147F2762-F138-4A5C-976F-8EAC2B608ADB}">
              <a16:predDERef xmlns:a16="http://schemas.microsoft.com/office/drawing/2014/main" pred="{EF8B035F-3C21-44CF-9692-DAA2CF52F9E3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18</xdr:row>
      <xdr:rowOff>161925</xdr:rowOff>
    </xdr:from>
    <xdr:to>
      <xdr:col>3</xdr:col>
      <xdr:colOff>85725</xdr:colOff>
      <xdr:row>20</xdr:row>
      <xdr:rowOff>0</xdr:rowOff>
    </xdr:to>
    <xdr:sp macro="" textlink="">
      <xdr:nvSpPr>
        <xdr:cNvPr id="11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2000000}"/>
            </a:ext>
            <a:ext uri="{147F2762-F138-4A5C-976F-8EAC2B608ADB}">
              <a16:predDERef xmlns:a16="http://schemas.microsoft.com/office/drawing/2014/main" pred="{EDC2F7F6-6E22-499D-87EE-C6D517099E39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19</xdr:row>
      <xdr:rowOff>161925</xdr:rowOff>
    </xdr:from>
    <xdr:to>
      <xdr:col>3</xdr:col>
      <xdr:colOff>76200</xdr:colOff>
      <xdr:row>21</xdr:row>
      <xdr:rowOff>0</xdr:rowOff>
    </xdr:to>
    <xdr:sp macro="" textlink="">
      <xdr:nvSpPr>
        <xdr:cNvPr id="11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3000000}"/>
            </a:ext>
            <a:ext uri="{147F2762-F138-4A5C-976F-8EAC2B608ADB}">
              <a16:predDERef xmlns:a16="http://schemas.microsoft.com/office/drawing/2014/main" pred="{8D762C79-941D-46E5-9970-BD8975432261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19</xdr:row>
      <xdr:rowOff>161925</xdr:rowOff>
    </xdr:from>
    <xdr:to>
      <xdr:col>3</xdr:col>
      <xdr:colOff>85725</xdr:colOff>
      <xdr:row>21</xdr:row>
      <xdr:rowOff>0</xdr:rowOff>
    </xdr:to>
    <xdr:sp macro="" textlink="">
      <xdr:nvSpPr>
        <xdr:cNvPr id="11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4000000}"/>
            </a:ext>
            <a:ext uri="{147F2762-F138-4A5C-976F-8EAC2B608ADB}">
              <a16:predDERef xmlns:a16="http://schemas.microsoft.com/office/drawing/2014/main" pred="{E51BC771-2A37-4E2E-BBBE-B9215FC04E5E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20</xdr:row>
      <xdr:rowOff>161925</xdr:rowOff>
    </xdr:from>
    <xdr:to>
      <xdr:col>3</xdr:col>
      <xdr:colOff>76200</xdr:colOff>
      <xdr:row>22</xdr:row>
      <xdr:rowOff>0</xdr:rowOff>
    </xdr:to>
    <xdr:sp macro="" textlink="">
      <xdr:nvSpPr>
        <xdr:cNvPr id="11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5000000}"/>
            </a:ext>
            <a:ext uri="{147F2762-F138-4A5C-976F-8EAC2B608ADB}">
              <a16:predDERef xmlns:a16="http://schemas.microsoft.com/office/drawing/2014/main" pred="{E23139F7-A009-42E5-B7A0-22DAC4D4DCA3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20</xdr:row>
      <xdr:rowOff>161925</xdr:rowOff>
    </xdr:from>
    <xdr:to>
      <xdr:col>3</xdr:col>
      <xdr:colOff>85725</xdr:colOff>
      <xdr:row>22</xdr:row>
      <xdr:rowOff>0</xdr:rowOff>
    </xdr:to>
    <xdr:sp macro="" textlink="">
      <xdr:nvSpPr>
        <xdr:cNvPr id="11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6000000}"/>
            </a:ext>
            <a:ext uri="{147F2762-F138-4A5C-976F-8EAC2B608ADB}">
              <a16:predDERef xmlns:a16="http://schemas.microsoft.com/office/drawing/2014/main" pred="{5D08F8E5-3550-40A2-A22D-4F311D71E8E7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21</xdr:row>
      <xdr:rowOff>161925</xdr:rowOff>
    </xdr:from>
    <xdr:to>
      <xdr:col>3</xdr:col>
      <xdr:colOff>76200</xdr:colOff>
      <xdr:row>23</xdr:row>
      <xdr:rowOff>0</xdr:rowOff>
    </xdr:to>
    <xdr:sp macro="" textlink="">
      <xdr:nvSpPr>
        <xdr:cNvPr id="11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7000000}"/>
            </a:ext>
            <a:ext uri="{147F2762-F138-4A5C-976F-8EAC2B608ADB}">
              <a16:predDERef xmlns:a16="http://schemas.microsoft.com/office/drawing/2014/main" pred="{7097E4B0-A181-42B1-AF75-7B29DA6455ED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21</xdr:row>
      <xdr:rowOff>161925</xdr:rowOff>
    </xdr:from>
    <xdr:to>
      <xdr:col>3</xdr:col>
      <xdr:colOff>85725</xdr:colOff>
      <xdr:row>23</xdr:row>
      <xdr:rowOff>0</xdr:rowOff>
    </xdr:to>
    <xdr:sp macro="" textlink="">
      <xdr:nvSpPr>
        <xdr:cNvPr id="12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8000000}"/>
            </a:ext>
            <a:ext uri="{147F2762-F138-4A5C-976F-8EAC2B608ADB}">
              <a16:predDERef xmlns:a16="http://schemas.microsoft.com/office/drawing/2014/main" pred="{9E68056C-F439-4555-86B3-512B681884EA}"/>
            </a:ext>
          </a:extLst>
        </xdr:cNvPr>
        <xdr:cNvSpPr/>
      </xdr:nvSpPr>
      <xdr:spPr bwMode="auto">
        <a:xfrm>
          <a:off x="1038225" y="5524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22</xdr:row>
      <xdr:rowOff>161925</xdr:rowOff>
    </xdr:from>
    <xdr:to>
      <xdr:col>3</xdr:col>
      <xdr:colOff>76200</xdr:colOff>
      <xdr:row>24</xdr:row>
      <xdr:rowOff>0</xdr:rowOff>
    </xdr:to>
    <xdr:sp macro="" textlink="">
      <xdr:nvSpPr>
        <xdr:cNvPr id="12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9000000}"/>
            </a:ext>
            <a:ext uri="{147F2762-F138-4A5C-976F-8EAC2B608ADB}">
              <a16:predDERef xmlns:a16="http://schemas.microsoft.com/office/drawing/2014/main" pred="{998C665D-C89D-4B2C-873C-02DC421EBF9F}"/>
            </a:ext>
          </a:extLst>
        </xdr:cNvPr>
        <xdr:cNvSpPr/>
      </xdr:nvSpPr>
      <xdr:spPr bwMode="auto">
        <a:xfrm>
          <a:off x="1028700" y="7429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22</xdr:row>
      <xdr:rowOff>171450</xdr:rowOff>
    </xdr:from>
    <xdr:to>
      <xdr:col>3</xdr:col>
      <xdr:colOff>76200</xdr:colOff>
      <xdr:row>24</xdr:row>
      <xdr:rowOff>9525</xdr:rowOff>
    </xdr:to>
    <xdr:sp macro="" textlink="">
      <xdr:nvSpPr>
        <xdr:cNvPr id="12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7A000000}"/>
            </a:ext>
            <a:ext uri="{147F2762-F138-4A5C-976F-8EAC2B608ADB}">
              <a16:predDERef xmlns:a16="http://schemas.microsoft.com/office/drawing/2014/main" pred="{A219C51B-4A44-4880-B16E-7A7C4482BC8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22</xdr:row>
      <xdr:rowOff>161925</xdr:rowOff>
    </xdr:from>
    <xdr:to>
      <xdr:col>3</xdr:col>
      <xdr:colOff>76200</xdr:colOff>
      <xdr:row>24</xdr:row>
      <xdr:rowOff>0</xdr:rowOff>
    </xdr:to>
    <xdr:sp macro="" textlink="">
      <xdr:nvSpPr>
        <xdr:cNvPr id="12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B000000}"/>
            </a:ext>
            <a:ext uri="{147F2762-F138-4A5C-976F-8EAC2B608ADB}">
              <a16:predDERef xmlns:a16="http://schemas.microsoft.com/office/drawing/2014/main" pred="{F7933140-7C6F-446F-B633-9200F5F4A98A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22</xdr:row>
      <xdr:rowOff>161925</xdr:rowOff>
    </xdr:from>
    <xdr:to>
      <xdr:col>3</xdr:col>
      <xdr:colOff>85725</xdr:colOff>
      <xdr:row>24</xdr:row>
      <xdr:rowOff>0</xdr:rowOff>
    </xdr:to>
    <xdr:sp macro="" textlink="">
      <xdr:nvSpPr>
        <xdr:cNvPr id="12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C000000}"/>
            </a:ext>
            <a:ext uri="{147F2762-F138-4A5C-976F-8EAC2B608ADB}">
              <a16:predDERef xmlns:a16="http://schemas.microsoft.com/office/drawing/2014/main" pred="{3E585597-DA2A-45AD-BEA4-011C48CA41F7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23</xdr:row>
      <xdr:rowOff>161925</xdr:rowOff>
    </xdr:from>
    <xdr:to>
      <xdr:col>3</xdr:col>
      <xdr:colOff>76200</xdr:colOff>
      <xdr:row>25</xdr:row>
      <xdr:rowOff>0</xdr:rowOff>
    </xdr:to>
    <xdr:sp macro="" textlink="">
      <xdr:nvSpPr>
        <xdr:cNvPr id="12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D000000}"/>
            </a:ext>
            <a:ext uri="{147F2762-F138-4A5C-976F-8EAC2B608ADB}">
              <a16:predDERef xmlns:a16="http://schemas.microsoft.com/office/drawing/2014/main" pred="{2EC2526C-497F-4290-8A94-CB186F4DF93C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23</xdr:row>
      <xdr:rowOff>171450</xdr:rowOff>
    </xdr:from>
    <xdr:to>
      <xdr:col>3</xdr:col>
      <xdr:colOff>76200</xdr:colOff>
      <xdr:row>25</xdr:row>
      <xdr:rowOff>9525</xdr:rowOff>
    </xdr:to>
    <xdr:sp macro="" textlink="">
      <xdr:nvSpPr>
        <xdr:cNvPr id="12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7E000000}"/>
            </a:ext>
            <a:ext uri="{147F2762-F138-4A5C-976F-8EAC2B608ADB}">
              <a16:predDERef xmlns:a16="http://schemas.microsoft.com/office/drawing/2014/main" pred="{D92B2179-7AC4-4FBA-9F78-16C9EC80787B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23</xdr:row>
      <xdr:rowOff>161925</xdr:rowOff>
    </xdr:from>
    <xdr:to>
      <xdr:col>3</xdr:col>
      <xdr:colOff>76200</xdr:colOff>
      <xdr:row>25</xdr:row>
      <xdr:rowOff>0</xdr:rowOff>
    </xdr:to>
    <xdr:sp macro="" textlink="">
      <xdr:nvSpPr>
        <xdr:cNvPr id="12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F000000}"/>
            </a:ext>
            <a:ext uri="{147F2762-F138-4A5C-976F-8EAC2B608ADB}">
              <a16:predDERef xmlns:a16="http://schemas.microsoft.com/office/drawing/2014/main" pred="{03C37FC7-38C5-4222-B8E6-B246176B06E0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23</xdr:row>
      <xdr:rowOff>161925</xdr:rowOff>
    </xdr:from>
    <xdr:to>
      <xdr:col>3</xdr:col>
      <xdr:colOff>85725</xdr:colOff>
      <xdr:row>25</xdr:row>
      <xdr:rowOff>0</xdr:rowOff>
    </xdr:to>
    <xdr:sp macro="" textlink="">
      <xdr:nvSpPr>
        <xdr:cNvPr id="12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0000000}"/>
            </a:ext>
            <a:ext uri="{147F2762-F138-4A5C-976F-8EAC2B608ADB}">
              <a16:predDERef xmlns:a16="http://schemas.microsoft.com/office/drawing/2014/main" pred="{911A34FF-C597-4CBB-B8B7-01CD8AD0725B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24</xdr:row>
      <xdr:rowOff>161925</xdr:rowOff>
    </xdr:from>
    <xdr:to>
      <xdr:col>3</xdr:col>
      <xdr:colOff>76200</xdr:colOff>
      <xdr:row>26</xdr:row>
      <xdr:rowOff>0</xdr:rowOff>
    </xdr:to>
    <xdr:sp macro="" textlink="">
      <xdr:nvSpPr>
        <xdr:cNvPr id="12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1000000}"/>
            </a:ext>
            <a:ext uri="{147F2762-F138-4A5C-976F-8EAC2B608ADB}">
              <a16:predDERef xmlns:a16="http://schemas.microsoft.com/office/drawing/2014/main" pred="{105C459F-C739-44E5-A817-B211381F141B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24</xdr:row>
      <xdr:rowOff>171450</xdr:rowOff>
    </xdr:from>
    <xdr:to>
      <xdr:col>3</xdr:col>
      <xdr:colOff>76200</xdr:colOff>
      <xdr:row>26</xdr:row>
      <xdr:rowOff>9525</xdr:rowOff>
    </xdr:to>
    <xdr:sp macro="" textlink="">
      <xdr:nvSpPr>
        <xdr:cNvPr id="13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82000000}"/>
            </a:ext>
            <a:ext uri="{147F2762-F138-4A5C-976F-8EAC2B608ADB}">
              <a16:predDERef xmlns:a16="http://schemas.microsoft.com/office/drawing/2014/main" pred="{E1A524C0-C930-4639-8693-E4AA9CBDE2AE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24</xdr:row>
      <xdr:rowOff>161925</xdr:rowOff>
    </xdr:from>
    <xdr:to>
      <xdr:col>3</xdr:col>
      <xdr:colOff>76200</xdr:colOff>
      <xdr:row>26</xdr:row>
      <xdr:rowOff>0</xdr:rowOff>
    </xdr:to>
    <xdr:sp macro="" textlink="">
      <xdr:nvSpPr>
        <xdr:cNvPr id="13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3000000}"/>
            </a:ext>
            <a:ext uri="{147F2762-F138-4A5C-976F-8EAC2B608ADB}">
              <a16:predDERef xmlns:a16="http://schemas.microsoft.com/office/drawing/2014/main" pred="{13DE150C-0CC6-4B25-B849-D112C56300C3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24</xdr:row>
      <xdr:rowOff>161925</xdr:rowOff>
    </xdr:from>
    <xdr:to>
      <xdr:col>3</xdr:col>
      <xdr:colOff>85725</xdr:colOff>
      <xdr:row>26</xdr:row>
      <xdr:rowOff>0</xdr:rowOff>
    </xdr:to>
    <xdr:sp macro="" textlink="">
      <xdr:nvSpPr>
        <xdr:cNvPr id="13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4000000}"/>
            </a:ext>
            <a:ext uri="{147F2762-F138-4A5C-976F-8EAC2B608ADB}">
              <a16:predDERef xmlns:a16="http://schemas.microsoft.com/office/drawing/2014/main" pred="{B4913CD5-4245-47BE-BE0C-FA578CA6BB63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25</xdr:row>
      <xdr:rowOff>161925</xdr:rowOff>
    </xdr:from>
    <xdr:to>
      <xdr:col>3</xdr:col>
      <xdr:colOff>76200</xdr:colOff>
      <xdr:row>27</xdr:row>
      <xdr:rowOff>0</xdr:rowOff>
    </xdr:to>
    <xdr:sp macro="" textlink="">
      <xdr:nvSpPr>
        <xdr:cNvPr id="13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5000000}"/>
            </a:ext>
            <a:ext uri="{147F2762-F138-4A5C-976F-8EAC2B608ADB}">
              <a16:predDERef xmlns:a16="http://schemas.microsoft.com/office/drawing/2014/main" pred="{104A6DD1-A11F-401C-9EB1-0E1E5BC9DDAA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25</xdr:row>
      <xdr:rowOff>171450</xdr:rowOff>
    </xdr:from>
    <xdr:to>
      <xdr:col>3</xdr:col>
      <xdr:colOff>76200</xdr:colOff>
      <xdr:row>27</xdr:row>
      <xdr:rowOff>9525</xdr:rowOff>
    </xdr:to>
    <xdr:sp macro="" textlink="">
      <xdr:nvSpPr>
        <xdr:cNvPr id="13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86000000}"/>
            </a:ext>
            <a:ext uri="{147F2762-F138-4A5C-976F-8EAC2B608ADB}">
              <a16:predDERef xmlns:a16="http://schemas.microsoft.com/office/drawing/2014/main" pred="{FB2F6F39-E82D-42CA-B0BA-415189CEA45B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25</xdr:row>
      <xdr:rowOff>161925</xdr:rowOff>
    </xdr:from>
    <xdr:to>
      <xdr:col>3</xdr:col>
      <xdr:colOff>76200</xdr:colOff>
      <xdr:row>27</xdr:row>
      <xdr:rowOff>0</xdr:rowOff>
    </xdr:to>
    <xdr:sp macro="" textlink="">
      <xdr:nvSpPr>
        <xdr:cNvPr id="13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7000000}"/>
            </a:ext>
            <a:ext uri="{147F2762-F138-4A5C-976F-8EAC2B608ADB}">
              <a16:predDERef xmlns:a16="http://schemas.microsoft.com/office/drawing/2014/main" pred="{ECCDF7B6-D7CE-493A-80D4-0FD91042B442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25</xdr:row>
      <xdr:rowOff>161925</xdr:rowOff>
    </xdr:from>
    <xdr:to>
      <xdr:col>3</xdr:col>
      <xdr:colOff>85725</xdr:colOff>
      <xdr:row>27</xdr:row>
      <xdr:rowOff>0</xdr:rowOff>
    </xdr:to>
    <xdr:sp macro="" textlink="">
      <xdr:nvSpPr>
        <xdr:cNvPr id="13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8000000}"/>
            </a:ext>
            <a:ext uri="{147F2762-F138-4A5C-976F-8EAC2B608ADB}">
              <a16:predDERef xmlns:a16="http://schemas.microsoft.com/office/drawing/2014/main" pred="{98449CD3-9F81-4F76-A84B-543680C91F98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26</xdr:row>
      <xdr:rowOff>161925</xdr:rowOff>
    </xdr:from>
    <xdr:to>
      <xdr:col>3</xdr:col>
      <xdr:colOff>76200</xdr:colOff>
      <xdr:row>28</xdr:row>
      <xdr:rowOff>0</xdr:rowOff>
    </xdr:to>
    <xdr:sp macro="" textlink="">
      <xdr:nvSpPr>
        <xdr:cNvPr id="13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9000000}"/>
            </a:ext>
            <a:ext uri="{147F2762-F138-4A5C-976F-8EAC2B608ADB}">
              <a16:predDERef xmlns:a16="http://schemas.microsoft.com/office/drawing/2014/main" pred="{80962909-E1B6-4CA7-A7D8-059525BB4810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26</xdr:row>
      <xdr:rowOff>171450</xdr:rowOff>
    </xdr:from>
    <xdr:to>
      <xdr:col>3</xdr:col>
      <xdr:colOff>76200</xdr:colOff>
      <xdr:row>28</xdr:row>
      <xdr:rowOff>9525</xdr:rowOff>
    </xdr:to>
    <xdr:sp macro="" textlink="">
      <xdr:nvSpPr>
        <xdr:cNvPr id="13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8A000000}"/>
            </a:ext>
            <a:ext uri="{147F2762-F138-4A5C-976F-8EAC2B608ADB}">
              <a16:predDERef xmlns:a16="http://schemas.microsoft.com/office/drawing/2014/main" pred="{D9E489ED-4C96-47BB-8DAB-5202E2DA5FE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26</xdr:row>
      <xdr:rowOff>161925</xdr:rowOff>
    </xdr:from>
    <xdr:to>
      <xdr:col>3</xdr:col>
      <xdr:colOff>76200</xdr:colOff>
      <xdr:row>28</xdr:row>
      <xdr:rowOff>0</xdr:rowOff>
    </xdr:to>
    <xdr:sp macro="" textlink="">
      <xdr:nvSpPr>
        <xdr:cNvPr id="13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B000000}"/>
            </a:ext>
            <a:ext uri="{147F2762-F138-4A5C-976F-8EAC2B608ADB}">
              <a16:predDERef xmlns:a16="http://schemas.microsoft.com/office/drawing/2014/main" pred="{83B1CF09-1547-4329-9AFA-B78EA52BB6BA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26</xdr:row>
      <xdr:rowOff>161925</xdr:rowOff>
    </xdr:from>
    <xdr:to>
      <xdr:col>3</xdr:col>
      <xdr:colOff>85725</xdr:colOff>
      <xdr:row>28</xdr:row>
      <xdr:rowOff>0</xdr:rowOff>
    </xdr:to>
    <xdr:sp macro="" textlink="">
      <xdr:nvSpPr>
        <xdr:cNvPr id="14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C000000}"/>
            </a:ext>
            <a:ext uri="{147F2762-F138-4A5C-976F-8EAC2B608ADB}">
              <a16:predDERef xmlns:a16="http://schemas.microsoft.com/office/drawing/2014/main" pred="{23DD742F-C706-46B0-ABA2-257546DDE3E6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27</xdr:row>
      <xdr:rowOff>161925</xdr:rowOff>
    </xdr:from>
    <xdr:to>
      <xdr:col>3</xdr:col>
      <xdr:colOff>76200</xdr:colOff>
      <xdr:row>29</xdr:row>
      <xdr:rowOff>0</xdr:rowOff>
    </xdr:to>
    <xdr:sp macro="" textlink="">
      <xdr:nvSpPr>
        <xdr:cNvPr id="14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D000000}"/>
            </a:ext>
            <a:ext uri="{147F2762-F138-4A5C-976F-8EAC2B608ADB}">
              <a16:predDERef xmlns:a16="http://schemas.microsoft.com/office/drawing/2014/main" pred="{FE94A65F-80CB-44DA-9CF4-26B2CEEFFE31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27</xdr:row>
      <xdr:rowOff>171450</xdr:rowOff>
    </xdr:from>
    <xdr:to>
      <xdr:col>3</xdr:col>
      <xdr:colOff>76200</xdr:colOff>
      <xdr:row>29</xdr:row>
      <xdr:rowOff>9525</xdr:rowOff>
    </xdr:to>
    <xdr:sp macro="" textlink="">
      <xdr:nvSpPr>
        <xdr:cNvPr id="14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8E000000}"/>
            </a:ext>
            <a:ext uri="{147F2762-F138-4A5C-976F-8EAC2B608ADB}">
              <a16:predDERef xmlns:a16="http://schemas.microsoft.com/office/drawing/2014/main" pred="{9A096B19-33F5-48FD-9D58-D8949A0962AD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27</xdr:row>
      <xdr:rowOff>161925</xdr:rowOff>
    </xdr:from>
    <xdr:to>
      <xdr:col>3</xdr:col>
      <xdr:colOff>76200</xdr:colOff>
      <xdr:row>29</xdr:row>
      <xdr:rowOff>0</xdr:rowOff>
    </xdr:to>
    <xdr:sp macro="" textlink="">
      <xdr:nvSpPr>
        <xdr:cNvPr id="14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F000000}"/>
            </a:ext>
            <a:ext uri="{147F2762-F138-4A5C-976F-8EAC2B608ADB}">
              <a16:predDERef xmlns:a16="http://schemas.microsoft.com/office/drawing/2014/main" pred="{93EAADA3-75CE-4B65-8669-C882494DB4F0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27</xdr:row>
      <xdr:rowOff>161925</xdr:rowOff>
    </xdr:from>
    <xdr:to>
      <xdr:col>3</xdr:col>
      <xdr:colOff>85725</xdr:colOff>
      <xdr:row>29</xdr:row>
      <xdr:rowOff>0</xdr:rowOff>
    </xdr:to>
    <xdr:sp macro="" textlink="">
      <xdr:nvSpPr>
        <xdr:cNvPr id="14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0000000}"/>
            </a:ext>
            <a:ext uri="{147F2762-F138-4A5C-976F-8EAC2B608ADB}">
              <a16:predDERef xmlns:a16="http://schemas.microsoft.com/office/drawing/2014/main" pred="{3AE22A91-9745-49AE-BA00-7FFEDC6990BE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28</xdr:row>
      <xdr:rowOff>161925</xdr:rowOff>
    </xdr:from>
    <xdr:to>
      <xdr:col>3</xdr:col>
      <xdr:colOff>76200</xdr:colOff>
      <xdr:row>30</xdr:row>
      <xdr:rowOff>0</xdr:rowOff>
    </xdr:to>
    <xdr:sp macro="" textlink="">
      <xdr:nvSpPr>
        <xdr:cNvPr id="14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1000000}"/>
            </a:ext>
            <a:ext uri="{147F2762-F138-4A5C-976F-8EAC2B608ADB}">
              <a16:predDERef xmlns:a16="http://schemas.microsoft.com/office/drawing/2014/main" pred="{957FF3A8-CE3F-4C93-8798-72673A5C6A92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28</xdr:row>
      <xdr:rowOff>171450</xdr:rowOff>
    </xdr:from>
    <xdr:to>
      <xdr:col>3</xdr:col>
      <xdr:colOff>76200</xdr:colOff>
      <xdr:row>30</xdr:row>
      <xdr:rowOff>9525</xdr:rowOff>
    </xdr:to>
    <xdr:sp macro="" textlink="">
      <xdr:nvSpPr>
        <xdr:cNvPr id="14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92000000}"/>
            </a:ext>
            <a:ext uri="{147F2762-F138-4A5C-976F-8EAC2B608ADB}">
              <a16:predDERef xmlns:a16="http://schemas.microsoft.com/office/drawing/2014/main" pred="{27621573-E44D-47F6-A9F1-44DD06AF5427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28</xdr:row>
      <xdr:rowOff>161925</xdr:rowOff>
    </xdr:from>
    <xdr:to>
      <xdr:col>3</xdr:col>
      <xdr:colOff>76200</xdr:colOff>
      <xdr:row>30</xdr:row>
      <xdr:rowOff>0</xdr:rowOff>
    </xdr:to>
    <xdr:sp macro="" textlink="">
      <xdr:nvSpPr>
        <xdr:cNvPr id="14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3000000}"/>
            </a:ext>
            <a:ext uri="{147F2762-F138-4A5C-976F-8EAC2B608ADB}">
              <a16:predDERef xmlns:a16="http://schemas.microsoft.com/office/drawing/2014/main" pred="{D366B581-8A90-4944-8448-6B432813E03A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28</xdr:row>
      <xdr:rowOff>161925</xdr:rowOff>
    </xdr:from>
    <xdr:to>
      <xdr:col>3</xdr:col>
      <xdr:colOff>85725</xdr:colOff>
      <xdr:row>30</xdr:row>
      <xdr:rowOff>0</xdr:rowOff>
    </xdr:to>
    <xdr:sp macro="" textlink="">
      <xdr:nvSpPr>
        <xdr:cNvPr id="14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4000000}"/>
            </a:ext>
            <a:ext uri="{147F2762-F138-4A5C-976F-8EAC2B608ADB}">
              <a16:predDERef xmlns:a16="http://schemas.microsoft.com/office/drawing/2014/main" pred="{87DAC217-6B11-4909-BA37-3422DC66BC53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29</xdr:row>
      <xdr:rowOff>161925</xdr:rowOff>
    </xdr:from>
    <xdr:to>
      <xdr:col>3</xdr:col>
      <xdr:colOff>76200</xdr:colOff>
      <xdr:row>31</xdr:row>
      <xdr:rowOff>0</xdr:rowOff>
    </xdr:to>
    <xdr:sp macro="" textlink="">
      <xdr:nvSpPr>
        <xdr:cNvPr id="14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5000000}"/>
            </a:ext>
            <a:ext uri="{147F2762-F138-4A5C-976F-8EAC2B608ADB}">
              <a16:predDERef xmlns:a16="http://schemas.microsoft.com/office/drawing/2014/main" pred="{4C2FAD6F-1F58-4455-9209-2881E1D9CF7E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29</xdr:row>
      <xdr:rowOff>171450</xdr:rowOff>
    </xdr:from>
    <xdr:to>
      <xdr:col>3</xdr:col>
      <xdr:colOff>76200</xdr:colOff>
      <xdr:row>31</xdr:row>
      <xdr:rowOff>9525</xdr:rowOff>
    </xdr:to>
    <xdr:sp macro="" textlink="">
      <xdr:nvSpPr>
        <xdr:cNvPr id="15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96000000}"/>
            </a:ext>
            <a:ext uri="{147F2762-F138-4A5C-976F-8EAC2B608ADB}">
              <a16:predDERef xmlns:a16="http://schemas.microsoft.com/office/drawing/2014/main" pred="{6074DE65-B9B4-4D98-9525-6BCF84BD2B47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29</xdr:row>
      <xdr:rowOff>161925</xdr:rowOff>
    </xdr:from>
    <xdr:to>
      <xdr:col>3</xdr:col>
      <xdr:colOff>76200</xdr:colOff>
      <xdr:row>31</xdr:row>
      <xdr:rowOff>0</xdr:rowOff>
    </xdr:to>
    <xdr:sp macro="" textlink="">
      <xdr:nvSpPr>
        <xdr:cNvPr id="15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7000000}"/>
            </a:ext>
            <a:ext uri="{147F2762-F138-4A5C-976F-8EAC2B608ADB}">
              <a16:predDERef xmlns:a16="http://schemas.microsoft.com/office/drawing/2014/main" pred="{0FC64BE0-119E-4A8F-A1C7-B85AC16F2E2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29</xdr:row>
      <xdr:rowOff>161925</xdr:rowOff>
    </xdr:from>
    <xdr:to>
      <xdr:col>3</xdr:col>
      <xdr:colOff>85725</xdr:colOff>
      <xdr:row>31</xdr:row>
      <xdr:rowOff>0</xdr:rowOff>
    </xdr:to>
    <xdr:sp macro="" textlink="">
      <xdr:nvSpPr>
        <xdr:cNvPr id="15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8000000}"/>
            </a:ext>
            <a:ext uri="{147F2762-F138-4A5C-976F-8EAC2B608ADB}">
              <a16:predDERef xmlns:a16="http://schemas.microsoft.com/office/drawing/2014/main" pred="{8787869F-997F-4194-A726-6A5D30B9C029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30</xdr:row>
      <xdr:rowOff>161925</xdr:rowOff>
    </xdr:from>
    <xdr:to>
      <xdr:col>3</xdr:col>
      <xdr:colOff>76200</xdr:colOff>
      <xdr:row>32</xdr:row>
      <xdr:rowOff>0</xdr:rowOff>
    </xdr:to>
    <xdr:sp macro="" textlink="">
      <xdr:nvSpPr>
        <xdr:cNvPr id="15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9000000}"/>
            </a:ext>
            <a:ext uri="{147F2762-F138-4A5C-976F-8EAC2B608ADB}">
              <a16:predDERef xmlns:a16="http://schemas.microsoft.com/office/drawing/2014/main" pred="{2E37099C-3DD4-4284-891E-3E5FBC61656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30</xdr:row>
      <xdr:rowOff>171450</xdr:rowOff>
    </xdr:from>
    <xdr:to>
      <xdr:col>3</xdr:col>
      <xdr:colOff>76200</xdr:colOff>
      <xdr:row>32</xdr:row>
      <xdr:rowOff>9525</xdr:rowOff>
    </xdr:to>
    <xdr:sp macro="" textlink="">
      <xdr:nvSpPr>
        <xdr:cNvPr id="15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9A000000}"/>
            </a:ext>
            <a:ext uri="{147F2762-F138-4A5C-976F-8EAC2B608ADB}">
              <a16:predDERef xmlns:a16="http://schemas.microsoft.com/office/drawing/2014/main" pred="{8D6BC55F-3F1B-409D-86B5-4E42D6B510D2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30</xdr:row>
      <xdr:rowOff>161925</xdr:rowOff>
    </xdr:from>
    <xdr:to>
      <xdr:col>3</xdr:col>
      <xdr:colOff>76200</xdr:colOff>
      <xdr:row>32</xdr:row>
      <xdr:rowOff>0</xdr:rowOff>
    </xdr:to>
    <xdr:sp macro="" textlink="">
      <xdr:nvSpPr>
        <xdr:cNvPr id="15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B000000}"/>
            </a:ext>
            <a:ext uri="{147F2762-F138-4A5C-976F-8EAC2B608ADB}">
              <a16:predDERef xmlns:a16="http://schemas.microsoft.com/office/drawing/2014/main" pred="{382D8A2A-C02B-4014-AD0A-AAF6704EB05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30</xdr:row>
      <xdr:rowOff>161925</xdr:rowOff>
    </xdr:from>
    <xdr:to>
      <xdr:col>3</xdr:col>
      <xdr:colOff>85725</xdr:colOff>
      <xdr:row>32</xdr:row>
      <xdr:rowOff>0</xdr:rowOff>
    </xdr:to>
    <xdr:sp macro="" textlink="">
      <xdr:nvSpPr>
        <xdr:cNvPr id="15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C000000}"/>
            </a:ext>
            <a:ext uri="{147F2762-F138-4A5C-976F-8EAC2B608ADB}">
              <a16:predDERef xmlns:a16="http://schemas.microsoft.com/office/drawing/2014/main" pred="{E53BC794-FFA7-4870-83FD-DB5C5B5C02BB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31</xdr:row>
      <xdr:rowOff>161925</xdr:rowOff>
    </xdr:from>
    <xdr:to>
      <xdr:col>3</xdr:col>
      <xdr:colOff>76200</xdr:colOff>
      <xdr:row>33</xdr:row>
      <xdr:rowOff>0</xdr:rowOff>
    </xdr:to>
    <xdr:sp macro="" textlink="">
      <xdr:nvSpPr>
        <xdr:cNvPr id="15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D000000}"/>
            </a:ext>
            <a:ext uri="{147F2762-F138-4A5C-976F-8EAC2B608ADB}">
              <a16:predDERef xmlns:a16="http://schemas.microsoft.com/office/drawing/2014/main" pred="{A134E59E-2A1F-4DCB-B9E5-F2850FE70132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31</xdr:row>
      <xdr:rowOff>171450</xdr:rowOff>
    </xdr:from>
    <xdr:to>
      <xdr:col>3</xdr:col>
      <xdr:colOff>76200</xdr:colOff>
      <xdr:row>33</xdr:row>
      <xdr:rowOff>9525</xdr:rowOff>
    </xdr:to>
    <xdr:sp macro="" textlink="">
      <xdr:nvSpPr>
        <xdr:cNvPr id="15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9E000000}"/>
            </a:ext>
            <a:ext uri="{147F2762-F138-4A5C-976F-8EAC2B608ADB}">
              <a16:predDERef xmlns:a16="http://schemas.microsoft.com/office/drawing/2014/main" pred="{B306C680-D458-4B5D-A0B9-2C16CC671F40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31</xdr:row>
      <xdr:rowOff>161925</xdr:rowOff>
    </xdr:from>
    <xdr:to>
      <xdr:col>3</xdr:col>
      <xdr:colOff>76200</xdr:colOff>
      <xdr:row>33</xdr:row>
      <xdr:rowOff>0</xdr:rowOff>
    </xdr:to>
    <xdr:sp macro="" textlink="">
      <xdr:nvSpPr>
        <xdr:cNvPr id="15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F000000}"/>
            </a:ext>
            <a:ext uri="{147F2762-F138-4A5C-976F-8EAC2B608ADB}">
              <a16:predDERef xmlns:a16="http://schemas.microsoft.com/office/drawing/2014/main" pred="{ADBB4D9E-B36C-4506-80C2-BB4CB3D64A7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31</xdr:row>
      <xdr:rowOff>161925</xdr:rowOff>
    </xdr:from>
    <xdr:to>
      <xdr:col>3</xdr:col>
      <xdr:colOff>85725</xdr:colOff>
      <xdr:row>33</xdr:row>
      <xdr:rowOff>0</xdr:rowOff>
    </xdr:to>
    <xdr:sp macro="" textlink="">
      <xdr:nvSpPr>
        <xdr:cNvPr id="16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0000000}"/>
            </a:ext>
            <a:ext uri="{147F2762-F138-4A5C-976F-8EAC2B608ADB}">
              <a16:predDERef xmlns:a16="http://schemas.microsoft.com/office/drawing/2014/main" pred="{9AE8BF69-2D25-48A4-ABB1-D80B34776C87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32</xdr:row>
      <xdr:rowOff>161925</xdr:rowOff>
    </xdr:from>
    <xdr:to>
      <xdr:col>3</xdr:col>
      <xdr:colOff>76200</xdr:colOff>
      <xdr:row>34</xdr:row>
      <xdr:rowOff>0</xdr:rowOff>
    </xdr:to>
    <xdr:sp macro="" textlink="">
      <xdr:nvSpPr>
        <xdr:cNvPr id="16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1000000}"/>
            </a:ext>
            <a:ext uri="{147F2762-F138-4A5C-976F-8EAC2B608ADB}">
              <a16:predDERef xmlns:a16="http://schemas.microsoft.com/office/drawing/2014/main" pred="{893EA7EF-4899-447C-9752-7D5558FD520A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32</xdr:row>
      <xdr:rowOff>171450</xdr:rowOff>
    </xdr:from>
    <xdr:to>
      <xdr:col>3</xdr:col>
      <xdr:colOff>76200</xdr:colOff>
      <xdr:row>34</xdr:row>
      <xdr:rowOff>9525</xdr:rowOff>
    </xdr:to>
    <xdr:sp macro="" textlink="">
      <xdr:nvSpPr>
        <xdr:cNvPr id="16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A2000000}"/>
            </a:ext>
            <a:ext uri="{147F2762-F138-4A5C-976F-8EAC2B608ADB}">
              <a16:predDERef xmlns:a16="http://schemas.microsoft.com/office/drawing/2014/main" pred="{7394522E-84D5-4585-B63A-F26EDF4E7CA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32</xdr:row>
      <xdr:rowOff>161925</xdr:rowOff>
    </xdr:from>
    <xdr:to>
      <xdr:col>3</xdr:col>
      <xdr:colOff>76200</xdr:colOff>
      <xdr:row>34</xdr:row>
      <xdr:rowOff>0</xdr:rowOff>
    </xdr:to>
    <xdr:sp macro="" textlink="">
      <xdr:nvSpPr>
        <xdr:cNvPr id="16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3000000}"/>
            </a:ext>
            <a:ext uri="{147F2762-F138-4A5C-976F-8EAC2B608ADB}">
              <a16:predDERef xmlns:a16="http://schemas.microsoft.com/office/drawing/2014/main" pred="{AA2198C1-30CC-4722-8FA3-A143AFBF3911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32</xdr:row>
      <xdr:rowOff>161925</xdr:rowOff>
    </xdr:from>
    <xdr:to>
      <xdr:col>3</xdr:col>
      <xdr:colOff>85725</xdr:colOff>
      <xdr:row>34</xdr:row>
      <xdr:rowOff>0</xdr:rowOff>
    </xdr:to>
    <xdr:sp macro="" textlink="">
      <xdr:nvSpPr>
        <xdr:cNvPr id="16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4000000}"/>
            </a:ext>
            <a:ext uri="{147F2762-F138-4A5C-976F-8EAC2B608ADB}">
              <a16:predDERef xmlns:a16="http://schemas.microsoft.com/office/drawing/2014/main" pred="{F05AD193-442A-48BB-810F-B0EE09017E38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33</xdr:row>
      <xdr:rowOff>161925</xdr:rowOff>
    </xdr:from>
    <xdr:to>
      <xdr:col>3</xdr:col>
      <xdr:colOff>76200</xdr:colOff>
      <xdr:row>35</xdr:row>
      <xdr:rowOff>0</xdr:rowOff>
    </xdr:to>
    <xdr:sp macro="" textlink="">
      <xdr:nvSpPr>
        <xdr:cNvPr id="16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5000000}"/>
            </a:ext>
            <a:ext uri="{147F2762-F138-4A5C-976F-8EAC2B608ADB}">
              <a16:predDERef xmlns:a16="http://schemas.microsoft.com/office/drawing/2014/main" pred="{87054E8B-25F9-46EC-AE30-8424C7ED89BC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33</xdr:row>
      <xdr:rowOff>171450</xdr:rowOff>
    </xdr:from>
    <xdr:to>
      <xdr:col>3</xdr:col>
      <xdr:colOff>76200</xdr:colOff>
      <xdr:row>35</xdr:row>
      <xdr:rowOff>9525</xdr:rowOff>
    </xdr:to>
    <xdr:sp macro="" textlink="">
      <xdr:nvSpPr>
        <xdr:cNvPr id="16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A6000000}"/>
            </a:ext>
            <a:ext uri="{147F2762-F138-4A5C-976F-8EAC2B608ADB}">
              <a16:predDERef xmlns:a16="http://schemas.microsoft.com/office/drawing/2014/main" pred="{5E1735F6-7463-46ED-AD6C-DC4DEB22CAAB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33</xdr:row>
      <xdr:rowOff>161925</xdr:rowOff>
    </xdr:from>
    <xdr:to>
      <xdr:col>3</xdr:col>
      <xdr:colOff>76200</xdr:colOff>
      <xdr:row>35</xdr:row>
      <xdr:rowOff>0</xdr:rowOff>
    </xdr:to>
    <xdr:sp macro="" textlink="">
      <xdr:nvSpPr>
        <xdr:cNvPr id="16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7000000}"/>
            </a:ext>
            <a:ext uri="{147F2762-F138-4A5C-976F-8EAC2B608ADB}">
              <a16:predDERef xmlns:a16="http://schemas.microsoft.com/office/drawing/2014/main" pred="{4BB80BD8-B06A-40FD-A0C4-BF73DD05F82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33</xdr:row>
      <xdr:rowOff>161925</xdr:rowOff>
    </xdr:from>
    <xdr:to>
      <xdr:col>3</xdr:col>
      <xdr:colOff>85725</xdr:colOff>
      <xdr:row>35</xdr:row>
      <xdr:rowOff>0</xdr:rowOff>
    </xdr:to>
    <xdr:sp macro="" textlink="">
      <xdr:nvSpPr>
        <xdr:cNvPr id="16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8000000}"/>
            </a:ext>
            <a:ext uri="{147F2762-F138-4A5C-976F-8EAC2B608ADB}">
              <a16:predDERef xmlns:a16="http://schemas.microsoft.com/office/drawing/2014/main" pred="{009CF5B0-5B1A-4806-B8E3-212F80B78F89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34</xdr:row>
      <xdr:rowOff>161925</xdr:rowOff>
    </xdr:from>
    <xdr:to>
      <xdr:col>3</xdr:col>
      <xdr:colOff>76200</xdr:colOff>
      <xdr:row>36</xdr:row>
      <xdr:rowOff>0</xdr:rowOff>
    </xdr:to>
    <xdr:sp macro="" textlink="">
      <xdr:nvSpPr>
        <xdr:cNvPr id="16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9000000}"/>
            </a:ext>
            <a:ext uri="{147F2762-F138-4A5C-976F-8EAC2B608ADB}">
              <a16:predDERef xmlns:a16="http://schemas.microsoft.com/office/drawing/2014/main" pred="{E8012981-98F6-42B3-85C3-C029FC73B8CF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34</xdr:row>
      <xdr:rowOff>171450</xdr:rowOff>
    </xdr:from>
    <xdr:to>
      <xdr:col>3</xdr:col>
      <xdr:colOff>76200</xdr:colOff>
      <xdr:row>36</xdr:row>
      <xdr:rowOff>9525</xdr:rowOff>
    </xdr:to>
    <xdr:sp macro="" textlink="">
      <xdr:nvSpPr>
        <xdr:cNvPr id="17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AA000000}"/>
            </a:ext>
            <a:ext uri="{147F2762-F138-4A5C-976F-8EAC2B608ADB}">
              <a16:predDERef xmlns:a16="http://schemas.microsoft.com/office/drawing/2014/main" pred="{FE7CFBE6-AFE5-46BD-9AD6-B67B1874517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34</xdr:row>
      <xdr:rowOff>161925</xdr:rowOff>
    </xdr:from>
    <xdr:to>
      <xdr:col>3</xdr:col>
      <xdr:colOff>76200</xdr:colOff>
      <xdr:row>36</xdr:row>
      <xdr:rowOff>0</xdr:rowOff>
    </xdr:to>
    <xdr:sp macro="" textlink="">
      <xdr:nvSpPr>
        <xdr:cNvPr id="17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B000000}"/>
            </a:ext>
            <a:ext uri="{147F2762-F138-4A5C-976F-8EAC2B608ADB}">
              <a16:predDERef xmlns:a16="http://schemas.microsoft.com/office/drawing/2014/main" pred="{AB840597-5F20-4C59-B00C-DBF7A9EEB8DD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34</xdr:row>
      <xdr:rowOff>161925</xdr:rowOff>
    </xdr:from>
    <xdr:to>
      <xdr:col>3</xdr:col>
      <xdr:colOff>85725</xdr:colOff>
      <xdr:row>36</xdr:row>
      <xdr:rowOff>0</xdr:rowOff>
    </xdr:to>
    <xdr:sp macro="" textlink="">
      <xdr:nvSpPr>
        <xdr:cNvPr id="17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C000000}"/>
            </a:ext>
            <a:ext uri="{147F2762-F138-4A5C-976F-8EAC2B608ADB}">
              <a16:predDERef xmlns:a16="http://schemas.microsoft.com/office/drawing/2014/main" pred="{4BA2BF73-E4E9-414C-87F0-981E13485253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35</xdr:row>
      <xdr:rowOff>161925</xdr:rowOff>
    </xdr:from>
    <xdr:to>
      <xdr:col>3</xdr:col>
      <xdr:colOff>76200</xdr:colOff>
      <xdr:row>37</xdr:row>
      <xdr:rowOff>0</xdr:rowOff>
    </xdr:to>
    <xdr:sp macro="" textlink="">
      <xdr:nvSpPr>
        <xdr:cNvPr id="17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D000000}"/>
            </a:ext>
            <a:ext uri="{147F2762-F138-4A5C-976F-8EAC2B608ADB}">
              <a16:predDERef xmlns:a16="http://schemas.microsoft.com/office/drawing/2014/main" pred="{C2120F7A-01ED-4A53-A98C-4FC1371393B0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35</xdr:row>
      <xdr:rowOff>171450</xdr:rowOff>
    </xdr:from>
    <xdr:to>
      <xdr:col>3</xdr:col>
      <xdr:colOff>76200</xdr:colOff>
      <xdr:row>37</xdr:row>
      <xdr:rowOff>9525</xdr:rowOff>
    </xdr:to>
    <xdr:sp macro="" textlink="">
      <xdr:nvSpPr>
        <xdr:cNvPr id="17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AE000000}"/>
            </a:ext>
            <a:ext uri="{147F2762-F138-4A5C-976F-8EAC2B608ADB}">
              <a16:predDERef xmlns:a16="http://schemas.microsoft.com/office/drawing/2014/main" pred="{36DC3799-6405-4AA4-B785-B574E3F1D25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35</xdr:row>
      <xdr:rowOff>161925</xdr:rowOff>
    </xdr:from>
    <xdr:to>
      <xdr:col>3</xdr:col>
      <xdr:colOff>76200</xdr:colOff>
      <xdr:row>37</xdr:row>
      <xdr:rowOff>0</xdr:rowOff>
    </xdr:to>
    <xdr:sp macro="" textlink="">
      <xdr:nvSpPr>
        <xdr:cNvPr id="17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F000000}"/>
            </a:ext>
            <a:ext uri="{147F2762-F138-4A5C-976F-8EAC2B608ADB}">
              <a16:predDERef xmlns:a16="http://schemas.microsoft.com/office/drawing/2014/main" pred="{0513DABD-0F11-4DC5-8BC3-392D25A93EA9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35</xdr:row>
      <xdr:rowOff>161925</xdr:rowOff>
    </xdr:from>
    <xdr:to>
      <xdr:col>3</xdr:col>
      <xdr:colOff>85725</xdr:colOff>
      <xdr:row>37</xdr:row>
      <xdr:rowOff>0</xdr:rowOff>
    </xdr:to>
    <xdr:sp macro="" textlink="">
      <xdr:nvSpPr>
        <xdr:cNvPr id="17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B0000000}"/>
            </a:ext>
            <a:ext uri="{147F2762-F138-4A5C-976F-8EAC2B608ADB}">
              <a16:predDERef xmlns:a16="http://schemas.microsoft.com/office/drawing/2014/main" pred="{0611F7AB-1774-4A90-BBA5-FCE303C99073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36</xdr:row>
      <xdr:rowOff>161925</xdr:rowOff>
    </xdr:from>
    <xdr:to>
      <xdr:col>3</xdr:col>
      <xdr:colOff>76200</xdr:colOff>
      <xdr:row>38</xdr:row>
      <xdr:rowOff>0</xdr:rowOff>
    </xdr:to>
    <xdr:sp macro="" textlink="">
      <xdr:nvSpPr>
        <xdr:cNvPr id="17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1000000}"/>
            </a:ext>
            <a:ext uri="{147F2762-F138-4A5C-976F-8EAC2B608ADB}">
              <a16:predDERef xmlns:a16="http://schemas.microsoft.com/office/drawing/2014/main" pred="{4EB7AD35-AA30-4959-99FC-DADFFB5F9DC3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36</xdr:row>
      <xdr:rowOff>171450</xdr:rowOff>
    </xdr:from>
    <xdr:to>
      <xdr:col>3</xdr:col>
      <xdr:colOff>76200</xdr:colOff>
      <xdr:row>38</xdr:row>
      <xdr:rowOff>9525</xdr:rowOff>
    </xdr:to>
    <xdr:sp macro="" textlink="">
      <xdr:nvSpPr>
        <xdr:cNvPr id="17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B2000000}"/>
            </a:ext>
            <a:ext uri="{147F2762-F138-4A5C-976F-8EAC2B608ADB}">
              <a16:predDERef xmlns:a16="http://schemas.microsoft.com/office/drawing/2014/main" pred="{13A5AC43-4CC6-46D3-AC25-FBC0526CA846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36</xdr:row>
      <xdr:rowOff>161925</xdr:rowOff>
    </xdr:from>
    <xdr:to>
      <xdr:col>3</xdr:col>
      <xdr:colOff>76200</xdr:colOff>
      <xdr:row>38</xdr:row>
      <xdr:rowOff>0</xdr:rowOff>
    </xdr:to>
    <xdr:sp macro="" textlink="">
      <xdr:nvSpPr>
        <xdr:cNvPr id="17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3000000}"/>
            </a:ext>
            <a:ext uri="{147F2762-F138-4A5C-976F-8EAC2B608ADB}">
              <a16:predDERef xmlns:a16="http://schemas.microsoft.com/office/drawing/2014/main" pred="{964C1DC5-068D-4096-9093-87F1C7F9E05D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36</xdr:row>
      <xdr:rowOff>161925</xdr:rowOff>
    </xdr:from>
    <xdr:to>
      <xdr:col>3</xdr:col>
      <xdr:colOff>85725</xdr:colOff>
      <xdr:row>38</xdr:row>
      <xdr:rowOff>0</xdr:rowOff>
    </xdr:to>
    <xdr:sp macro="" textlink="">
      <xdr:nvSpPr>
        <xdr:cNvPr id="18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B4000000}"/>
            </a:ext>
            <a:ext uri="{147F2762-F138-4A5C-976F-8EAC2B608ADB}">
              <a16:predDERef xmlns:a16="http://schemas.microsoft.com/office/drawing/2014/main" pred="{15384F39-2E31-4450-AC3C-A6E003B4D2D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37</xdr:row>
      <xdr:rowOff>161925</xdr:rowOff>
    </xdr:from>
    <xdr:to>
      <xdr:col>3</xdr:col>
      <xdr:colOff>76200</xdr:colOff>
      <xdr:row>39</xdr:row>
      <xdr:rowOff>0</xdr:rowOff>
    </xdr:to>
    <xdr:sp macro="" textlink="">
      <xdr:nvSpPr>
        <xdr:cNvPr id="18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5000000}"/>
            </a:ext>
            <a:ext uri="{147F2762-F138-4A5C-976F-8EAC2B608ADB}">
              <a16:predDERef xmlns:a16="http://schemas.microsoft.com/office/drawing/2014/main" pred="{96B83647-5928-4055-AD56-9DAFA215D739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37</xdr:row>
      <xdr:rowOff>171450</xdr:rowOff>
    </xdr:from>
    <xdr:to>
      <xdr:col>3</xdr:col>
      <xdr:colOff>76200</xdr:colOff>
      <xdr:row>39</xdr:row>
      <xdr:rowOff>9525</xdr:rowOff>
    </xdr:to>
    <xdr:sp macro="" textlink="">
      <xdr:nvSpPr>
        <xdr:cNvPr id="18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B6000000}"/>
            </a:ext>
            <a:ext uri="{147F2762-F138-4A5C-976F-8EAC2B608ADB}">
              <a16:predDERef xmlns:a16="http://schemas.microsoft.com/office/drawing/2014/main" pred="{F6ED2440-3201-4DB9-BDA3-73653B0E5E53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37</xdr:row>
      <xdr:rowOff>161925</xdr:rowOff>
    </xdr:from>
    <xdr:to>
      <xdr:col>3</xdr:col>
      <xdr:colOff>76200</xdr:colOff>
      <xdr:row>39</xdr:row>
      <xdr:rowOff>0</xdr:rowOff>
    </xdr:to>
    <xdr:sp macro="" textlink="">
      <xdr:nvSpPr>
        <xdr:cNvPr id="18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7000000}"/>
            </a:ext>
            <a:ext uri="{147F2762-F138-4A5C-976F-8EAC2B608ADB}">
              <a16:predDERef xmlns:a16="http://schemas.microsoft.com/office/drawing/2014/main" pred="{1587FB0A-4418-499C-8969-A8B323BD35FF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37</xdr:row>
      <xdr:rowOff>161925</xdr:rowOff>
    </xdr:from>
    <xdr:to>
      <xdr:col>3</xdr:col>
      <xdr:colOff>85725</xdr:colOff>
      <xdr:row>39</xdr:row>
      <xdr:rowOff>0</xdr:rowOff>
    </xdr:to>
    <xdr:sp macro="" textlink="">
      <xdr:nvSpPr>
        <xdr:cNvPr id="18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B8000000}"/>
            </a:ext>
            <a:ext uri="{147F2762-F138-4A5C-976F-8EAC2B608ADB}">
              <a16:predDERef xmlns:a16="http://schemas.microsoft.com/office/drawing/2014/main" pred="{FF736ED4-6CA0-413D-AA27-915A61456847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38</xdr:row>
      <xdr:rowOff>161925</xdr:rowOff>
    </xdr:from>
    <xdr:to>
      <xdr:col>3</xdr:col>
      <xdr:colOff>76200</xdr:colOff>
      <xdr:row>40</xdr:row>
      <xdr:rowOff>0</xdr:rowOff>
    </xdr:to>
    <xdr:sp macro="" textlink="">
      <xdr:nvSpPr>
        <xdr:cNvPr id="18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9000000}"/>
            </a:ext>
            <a:ext uri="{147F2762-F138-4A5C-976F-8EAC2B608ADB}">
              <a16:predDERef xmlns:a16="http://schemas.microsoft.com/office/drawing/2014/main" pred="{A0FC3C13-AEAA-43D4-8A6B-2484287F51F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38</xdr:row>
      <xdr:rowOff>171450</xdr:rowOff>
    </xdr:from>
    <xdr:to>
      <xdr:col>3</xdr:col>
      <xdr:colOff>76200</xdr:colOff>
      <xdr:row>40</xdr:row>
      <xdr:rowOff>9525</xdr:rowOff>
    </xdr:to>
    <xdr:sp macro="" textlink="">
      <xdr:nvSpPr>
        <xdr:cNvPr id="18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BA000000}"/>
            </a:ext>
            <a:ext uri="{147F2762-F138-4A5C-976F-8EAC2B608ADB}">
              <a16:predDERef xmlns:a16="http://schemas.microsoft.com/office/drawing/2014/main" pred="{46DAD6BC-FAE5-4636-A2AB-D2D79E9C9F4B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38</xdr:row>
      <xdr:rowOff>161925</xdr:rowOff>
    </xdr:from>
    <xdr:to>
      <xdr:col>3</xdr:col>
      <xdr:colOff>76200</xdr:colOff>
      <xdr:row>40</xdr:row>
      <xdr:rowOff>0</xdr:rowOff>
    </xdr:to>
    <xdr:sp macro="" textlink="">
      <xdr:nvSpPr>
        <xdr:cNvPr id="18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B000000}"/>
            </a:ext>
            <a:ext uri="{147F2762-F138-4A5C-976F-8EAC2B608ADB}">
              <a16:predDERef xmlns:a16="http://schemas.microsoft.com/office/drawing/2014/main" pred="{C236E536-074A-4DE8-B855-1828FADF71AC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38</xdr:row>
      <xdr:rowOff>161925</xdr:rowOff>
    </xdr:from>
    <xdr:to>
      <xdr:col>3</xdr:col>
      <xdr:colOff>85725</xdr:colOff>
      <xdr:row>40</xdr:row>
      <xdr:rowOff>0</xdr:rowOff>
    </xdr:to>
    <xdr:sp macro="" textlink="">
      <xdr:nvSpPr>
        <xdr:cNvPr id="18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BC000000}"/>
            </a:ext>
            <a:ext uri="{147F2762-F138-4A5C-976F-8EAC2B608ADB}">
              <a16:predDERef xmlns:a16="http://schemas.microsoft.com/office/drawing/2014/main" pred="{E96509AC-E80F-4AAE-9E80-625569D2B9E8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39</xdr:row>
      <xdr:rowOff>161925</xdr:rowOff>
    </xdr:from>
    <xdr:to>
      <xdr:col>3</xdr:col>
      <xdr:colOff>76200</xdr:colOff>
      <xdr:row>41</xdr:row>
      <xdr:rowOff>0</xdr:rowOff>
    </xdr:to>
    <xdr:sp macro="" textlink="">
      <xdr:nvSpPr>
        <xdr:cNvPr id="18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D000000}"/>
            </a:ext>
            <a:ext uri="{147F2762-F138-4A5C-976F-8EAC2B608ADB}">
              <a16:predDERef xmlns:a16="http://schemas.microsoft.com/office/drawing/2014/main" pred="{2BFA64F6-6F33-406C-BF07-22E981742B45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39</xdr:row>
      <xdr:rowOff>171450</xdr:rowOff>
    </xdr:from>
    <xdr:to>
      <xdr:col>3</xdr:col>
      <xdr:colOff>76200</xdr:colOff>
      <xdr:row>41</xdr:row>
      <xdr:rowOff>9525</xdr:rowOff>
    </xdr:to>
    <xdr:sp macro="" textlink="">
      <xdr:nvSpPr>
        <xdr:cNvPr id="19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BE000000}"/>
            </a:ext>
            <a:ext uri="{147F2762-F138-4A5C-976F-8EAC2B608ADB}">
              <a16:predDERef xmlns:a16="http://schemas.microsoft.com/office/drawing/2014/main" pred="{968F17E5-3804-444F-B111-108EEDECB33D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39</xdr:row>
      <xdr:rowOff>161925</xdr:rowOff>
    </xdr:from>
    <xdr:to>
      <xdr:col>3</xdr:col>
      <xdr:colOff>76200</xdr:colOff>
      <xdr:row>41</xdr:row>
      <xdr:rowOff>0</xdr:rowOff>
    </xdr:to>
    <xdr:sp macro="" textlink="">
      <xdr:nvSpPr>
        <xdr:cNvPr id="19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BF000000}"/>
            </a:ext>
            <a:ext uri="{147F2762-F138-4A5C-976F-8EAC2B608ADB}">
              <a16:predDERef xmlns:a16="http://schemas.microsoft.com/office/drawing/2014/main" pred="{A0C3297C-38C4-449D-A68E-91405952825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39</xdr:row>
      <xdr:rowOff>161925</xdr:rowOff>
    </xdr:from>
    <xdr:to>
      <xdr:col>3</xdr:col>
      <xdr:colOff>85725</xdr:colOff>
      <xdr:row>41</xdr:row>
      <xdr:rowOff>0</xdr:rowOff>
    </xdr:to>
    <xdr:sp macro="" textlink="">
      <xdr:nvSpPr>
        <xdr:cNvPr id="19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C0000000}"/>
            </a:ext>
            <a:ext uri="{147F2762-F138-4A5C-976F-8EAC2B608ADB}">
              <a16:predDERef xmlns:a16="http://schemas.microsoft.com/office/drawing/2014/main" pred="{91A55954-3B7E-49DA-BBA2-5E6F29919793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40</xdr:row>
      <xdr:rowOff>161925</xdr:rowOff>
    </xdr:from>
    <xdr:to>
      <xdr:col>3</xdr:col>
      <xdr:colOff>76200</xdr:colOff>
      <xdr:row>42</xdr:row>
      <xdr:rowOff>0</xdr:rowOff>
    </xdr:to>
    <xdr:sp macro="" textlink="">
      <xdr:nvSpPr>
        <xdr:cNvPr id="19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1000000}"/>
            </a:ext>
            <a:ext uri="{147F2762-F138-4A5C-976F-8EAC2B608ADB}">
              <a16:predDERef xmlns:a16="http://schemas.microsoft.com/office/drawing/2014/main" pred="{BCA0043E-44B8-4AF1-948A-285BDC5C202E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40</xdr:row>
      <xdr:rowOff>171450</xdr:rowOff>
    </xdr:from>
    <xdr:to>
      <xdr:col>3</xdr:col>
      <xdr:colOff>76200</xdr:colOff>
      <xdr:row>42</xdr:row>
      <xdr:rowOff>9525</xdr:rowOff>
    </xdr:to>
    <xdr:sp macro="" textlink="">
      <xdr:nvSpPr>
        <xdr:cNvPr id="19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C2000000}"/>
            </a:ext>
            <a:ext uri="{147F2762-F138-4A5C-976F-8EAC2B608ADB}">
              <a16:predDERef xmlns:a16="http://schemas.microsoft.com/office/drawing/2014/main" pred="{0E7356D3-1692-431E-948F-62F554DF67AF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40</xdr:row>
      <xdr:rowOff>161925</xdr:rowOff>
    </xdr:from>
    <xdr:to>
      <xdr:col>3</xdr:col>
      <xdr:colOff>76200</xdr:colOff>
      <xdr:row>42</xdr:row>
      <xdr:rowOff>0</xdr:rowOff>
    </xdr:to>
    <xdr:sp macro="" textlink="">
      <xdr:nvSpPr>
        <xdr:cNvPr id="19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3000000}"/>
            </a:ext>
            <a:ext uri="{147F2762-F138-4A5C-976F-8EAC2B608ADB}">
              <a16:predDERef xmlns:a16="http://schemas.microsoft.com/office/drawing/2014/main" pred="{3C3FF1C5-BEF9-404C-8D14-B73673F782FC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40</xdr:row>
      <xdr:rowOff>161925</xdr:rowOff>
    </xdr:from>
    <xdr:to>
      <xdr:col>3</xdr:col>
      <xdr:colOff>85725</xdr:colOff>
      <xdr:row>42</xdr:row>
      <xdr:rowOff>0</xdr:rowOff>
    </xdr:to>
    <xdr:sp macro="" textlink="">
      <xdr:nvSpPr>
        <xdr:cNvPr id="19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C4000000}"/>
            </a:ext>
            <a:ext uri="{147F2762-F138-4A5C-976F-8EAC2B608ADB}">
              <a16:predDERef xmlns:a16="http://schemas.microsoft.com/office/drawing/2014/main" pred="{E4ACD978-63B7-43B1-B95D-0CADDAA1FC5B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41</xdr:row>
      <xdr:rowOff>161925</xdr:rowOff>
    </xdr:from>
    <xdr:to>
      <xdr:col>3</xdr:col>
      <xdr:colOff>76200</xdr:colOff>
      <xdr:row>43</xdr:row>
      <xdr:rowOff>0</xdr:rowOff>
    </xdr:to>
    <xdr:sp macro="" textlink="">
      <xdr:nvSpPr>
        <xdr:cNvPr id="19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5000000}"/>
            </a:ext>
            <a:ext uri="{147F2762-F138-4A5C-976F-8EAC2B608ADB}">
              <a16:predDERef xmlns:a16="http://schemas.microsoft.com/office/drawing/2014/main" pred="{2A013276-71B6-4947-91C9-005E6302AB3A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41</xdr:row>
      <xdr:rowOff>171450</xdr:rowOff>
    </xdr:from>
    <xdr:to>
      <xdr:col>3</xdr:col>
      <xdr:colOff>76200</xdr:colOff>
      <xdr:row>43</xdr:row>
      <xdr:rowOff>9525</xdr:rowOff>
    </xdr:to>
    <xdr:sp macro="" textlink="">
      <xdr:nvSpPr>
        <xdr:cNvPr id="19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C6000000}"/>
            </a:ext>
            <a:ext uri="{147F2762-F138-4A5C-976F-8EAC2B608ADB}">
              <a16:predDERef xmlns:a16="http://schemas.microsoft.com/office/drawing/2014/main" pred="{D572B4FD-F2E1-428C-8E1D-9EF80F41EF63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41</xdr:row>
      <xdr:rowOff>161925</xdr:rowOff>
    </xdr:from>
    <xdr:to>
      <xdr:col>3</xdr:col>
      <xdr:colOff>76200</xdr:colOff>
      <xdr:row>43</xdr:row>
      <xdr:rowOff>0</xdr:rowOff>
    </xdr:to>
    <xdr:sp macro="" textlink="">
      <xdr:nvSpPr>
        <xdr:cNvPr id="19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7000000}"/>
            </a:ext>
            <a:ext uri="{147F2762-F138-4A5C-976F-8EAC2B608ADB}">
              <a16:predDERef xmlns:a16="http://schemas.microsoft.com/office/drawing/2014/main" pred="{5E95352C-7791-4AF2-AA2A-592764621E7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41</xdr:row>
      <xdr:rowOff>161925</xdr:rowOff>
    </xdr:from>
    <xdr:to>
      <xdr:col>3</xdr:col>
      <xdr:colOff>85725</xdr:colOff>
      <xdr:row>43</xdr:row>
      <xdr:rowOff>0</xdr:rowOff>
    </xdr:to>
    <xdr:sp macro="" textlink="">
      <xdr:nvSpPr>
        <xdr:cNvPr id="20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C8000000}"/>
            </a:ext>
            <a:ext uri="{147F2762-F138-4A5C-976F-8EAC2B608ADB}">
              <a16:predDERef xmlns:a16="http://schemas.microsoft.com/office/drawing/2014/main" pred="{25E14CDC-E3D9-461C-92B4-6E6D9FB0D91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42</xdr:row>
      <xdr:rowOff>161925</xdr:rowOff>
    </xdr:from>
    <xdr:to>
      <xdr:col>3</xdr:col>
      <xdr:colOff>76200</xdr:colOff>
      <xdr:row>44</xdr:row>
      <xdr:rowOff>0</xdr:rowOff>
    </xdr:to>
    <xdr:sp macro="" textlink="">
      <xdr:nvSpPr>
        <xdr:cNvPr id="20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9000000}"/>
            </a:ext>
            <a:ext uri="{147F2762-F138-4A5C-976F-8EAC2B608ADB}">
              <a16:predDERef xmlns:a16="http://schemas.microsoft.com/office/drawing/2014/main" pred="{E89BE2D9-0A47-4EE8-A8F2-60829B2FA192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42</xdr:row>
      <xdr:rowOff>171450</xdr:rowOff>
    </xdr:from>
    <xdr:to>
      <xdr:col>3</xdr:col>
      <xdr:colOff>76200</xdr:colOff>
      <xdr:row>44</xdr:row>
      <xdr:rowOff>9525</xdr:rowOff>
    </xdr:to>
    <xdr:sp macro="" textlink="">
      <xdr:nvSpPr>
        <xdr:cNvPr id="20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CA000000}"/>
            </a:ext>
            <a:ext uri="{147F2762-F138-4A5C-976F-8EAC2B608ADB}">
              <a16:predDERef xmlns:a16="http://schemas.microsoft.com/office/drawing/2014/main" pred="{AFA23194-EC0D-47A9-969E-75999B0667F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42</xdr:row>
      <xdr:rowOff>161925</xdr:rowOff>
    </xdr:from>
    <xdr:to>
      <xdr:col>3</xdr:col>
      <xdr:colOff>76200</xdr:colOff>
      <xdr:row>44</xdr:row>
      <xdr:rowOff>0</xdr:rowOff>
    </xdr:to>
    <xdr:sp macro="" textlink="">
      <xdr:nvSpPr>
        <xdr:cNvPr id="20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B000000}"/>
            </a:ext>
            <a:ext uri="{147F2762-F138-4A5C-976F-8EAC2B608ADB}">
              <a16:predDERef xmlns:a16="http://schemas.microsoft.com/office/drawing/2014/main" pred="{CAF83579-D76C-411A-8DB2-600066C68708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42</xdr:row>
      <xdr:rowOff>161925</xdr:rowOff>
    </xdr:from>
    <xdr:to>
      <xdr:col>3</xdr:col>
      <xdr:colOff>85725</xdr:colOff>
      <xdr:row>44</xdr:row>
      <xdr:rowOff>0</xdr:rowOff>
    </xdr:to>
    <xdr:sp macro="" textlink="">
      <xdr:nvSpPr>
        <xdr:cNvPr id="20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CC000000}"/>
            </a:ext>
            <a:ext uri="{147F2762-F138-4A5C-976F-8EAC2B608ADB}">
              <a16:predDERef xmlns:a16="http://schemas.microsoft.com/office/drawing/2014/main" pred="{76094B96-7C19-4A12-AA2E-38DEFE71C66F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43</xdr:row>
      <xdr:rowOff>161925</xdr:rowOff>
    </xdr:from>
    <xdr:to>
      <xdr:col>3</xdr:col>
      <xdr:colOff>76200</xdr:colOff>
      <xdr:row>45</xdr:row>
      <xdr:rowOff>0</xdr:rowOff>
    </xdr:to>
    <xdr:sp macro="" textlink="">
      <xdr:nvSpPr>
        <xdr:cNvPr id="20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D000000}"/>
            </a:ext>
            <a:ext uri="{147F2762-F138-4A5C-976F-8EAC2B608ADB}">
              <a16:predDERef xmlns:a16="http://schemas.microsoft.com/office/drawing/2014/main" pred="{EFA234A8-40F0-40A3-BF9A-2B7ED8FBFE6D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43</xdr:row>
      <xdr:rowOff>171450</xdr:rowOff>
    </xdr:from>
    <xdr:to>
      <xdr:col>3</xdr:col>
      <xdr:colOff>76200</xdr:colOff>
      <xdr:row>45</xdr:row>
      <xdr:rowOff>9525</xdr:rowOff>
    </xdr:to>
    <xdr:sp macro="" textlink="">
      <xdr:nvSpPr>
        <xdr:cNvPr id="20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CE000000}"/>
            </a:ext>
            <a:ext uri="{147F2762-F138-4A5C-976F-8EAC2B608ADB}">
              <a16:predDERef xmlns:a16="http://schemas.microsoft.com/office/drawing/2014/main" pred="{5F9E774E-5E6B-426E-B9AF-54D4C9B9CF65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43</xdr:row>
      <xdr:rowOff>161925</xdr:rowOff>
    </xdr:from>
    <xdr:to>
      <xdr:col>3</xdr:col>
      <xdr:colOff>76200</xdr:colOff>
      <xdr:row>45</xdr:row>
      <xdr:rowOff>0</xdr:rowOff>
    </xdr:to>
    <xdr:sp macro="" textlink="">
      <xdr:nvSpPr>
        <xdr:cNvPr id="20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CF000000}"/>
            </a:ext>
            <a:ext uri="{147F2762-F138-4A5C-976F-8EAC2B608ADB}">
              <a16:predDERef xmlns:a16="http://schemas.microsoft.com/office/drawing/2014/main" pred="{D6886940-E819-4801-8233-4B56B4014369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43</xdr:row>
      <xdr:rowOff>161925</xdr:rowOff>
    </xdr:from>
    <xdr:to>
      <xdr:col>3</xdr:col>
      <xdr:colOff>85725</xdr:colOff>
      <xdr:row>45</xdr:row>
      <xdr:rowOff>0</xdr:rowOff>
    </xdr:to>
    <xdr:sp macro="" textlink="">
      <xdr:nvSpPr>
        <xdr:cNvPr id="20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D0000000}"/>
            </a:ext>
            <a:ext uri="{147F2762-F138-4A5C-976F-8EAC2B608ADB}">
              <a16:predDERef xmlns:a16="http://schemas.microsoft.com/office/drawing/2014/main" pred="{95EE6F6E-0636-45CD-A65C-B94D3DF454F6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44</xdr:row>
      <xdr:rowOff>161925</xdr:rowOff>
    </xdr:from>
    <xdr:to>
      <xdr:col>3</xdr:col>
      <xdr:colOff>76200</xdr:colOff>
      <xdr:row>46</xdr:row>
      <xdr:rowOff>0</xdr:rowOff>
    </xdr:to>
    <xdr:sp macro="" textlink="">
      <xdr:nvSpPr>
        <xdr:cNvPr id="20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1000000}"/>
            </a:ext>
            <a:ext uri="{147F2762-F138-4A5C-976F-8EAC2B608ADB}">
              <a16:predDERef xmlns:a16="http://schemas.microsoft.com/office/drawing/2014/main" pred="{3D46CFC6-E969-42C8-AF5C-37543DC99B23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44</xdr:row>
      <xdr:rowOff>171450</xdr:rowOff>
    </xdr:from>
    <xdr:to>
      <xdr:col>3</xdr:col>
      <xdr:colOff>76200</xdr:colOff>
      <xdr:row>46</xdr:row>
      <xdr:rowOff>9525</xdr:rowOff>
    </xdr:to>
    <xdr:sp macro="" textlink="">
      <xdr:nvSpPr>
        <xdr:cNvPr id="21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D2000000}"/>
            </a:ext>
            <a:ext uri="{147F2762-F138-4A5C-976F-8EAC2B608ADB}">
              <a16:predDERef xmlns:a16="http://schemas.microsoft.com/office/drawing/2014/main" pred="{BB3A055D-A8BC-48BE-8DD4-3C5543DF155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44</xdr:row>
      <xdr:rowOff>161925</xdr:rowOff>
    </xdr:from>
    <xdr:to>
      <xdr:col>3</xdr:col>
      <xdr:colOff>76200</xdr:colOff>
      <xdr:row>46</xdr:row>
      <xdr:rowOff>0</xdr:rowOff>
    </xdr:to>
    <xdr:sp macro="" textlink="">
      <xdr:nvSpPr>
        <xdr:cNvPr id="21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3000000}"/>
            </a:ext>
            <a:ext uri="{147F2762-F138-4A5C-976F-8EAC2B608ADB}">
              <a16:predDERef xmlns:a16="http://schemas.microsoft.com/office/drawing/2014/main" pred="{B97979AA-3060-4237-A5B1-05E95881C26B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44</xdr:row>
      <xdr:rowOff>161925</xdr:rowOff>
    </xdr:from>
    <xdr:to>
      <xdr:col>3</xdr:col>
      <xdr:colOff>85725</xdr:colOff>
      <xdr:row>46</xdr:row>
      <xdr:rowOff>0</xdr:rowOff>
    </xdr:to>
    <xdr:sp macro="" textlink="">
      <xdr:nvSpPr>
        <xdr:cNvPr id="21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D4000000}"/>
            </a:ext>
            <a:ext uri="{147F2762-F138-4A5C-976F-8EAC2B608ADB}">
              <a16:predDERef xmlns:a16="http://schemas.microsoft.com/office/drawing/2014/main" pred="{B0CC8AB5-4141-436A-BB0C-B264EDE02BC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45</xdr:row>
      <xdr:rowOff>161925</xdr:rowOff>
    </xdr:from>
    <xdr:to>
      <xdr:col>3</xdr:col>
      <xdr:colOff>76200</xdr:colOff>
      <xdr:row>47</xdr:row>
      <xdr:rowOff>0</xdr:rowOff>
    </xdr:to>
    <xdr:sp macro="" textlink="">
      <xdr:nvSpPr>
        <xdr:cNvPr id="21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5000000}"/>
            </a:ext>
            <a:ext uri="{147F2762-F138-4A5C-976F-8EAC2B608ADB}">
              <a16:predDERef xmlns:a16="http://schemas.microsoft.com/office/drawing/2014/main" pred="{5964C18F-DFF7-44AC-A0A4-841035379D51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45</xdr:row>
      <xdr:rowOff>171450</xdr:rowOff>
    </xdr:from>
    <xdr:to>
      <xdr:col>3</xdr:col>
      <xdr:colOff>76200</xdr:colOff>
      <xdr:row>47</xdr:row>
      <xdr:rowOff>9525</xdr:rowOff>
    </xdr:to>
    <xdr:sp macro="" textlink="">
      <xdr:nvSpPr>
        <xdr:cNvPr id="21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D6000000}"/>
            </a:ext>
            <a:ext uri="{147F2762-F138-4A5C-976F-8EAC2B608ADB}">
              <a16:predDERef xmlns:a16="http://schemas.microsoft.com/office/drawing/2014/main" pred="{06905B40-E9DC-4106-8040-59C99B7E981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45</xdr:row>
      <xdr:rowOff>161925</xdr:rowOff>
    </xdr:from>
    <xdr:to>
      <xdr:col>3</xdr:col>
      <xdr:colOff>76200</xdr:colOff>
      <xdr:row>47</xdr:row>
      <xdr:rowOff>0</xdr:rowOff>
    </xdr:to>
    <xdr:sp macro="" textlink="">
      <xdr:nvSpPr>
        <xdr:cNvPr id="21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7000000}"/>
            </a:ext>
            <a:ext uri="{147F2762-F138-4A5C-976F-8EAC2B608ADB}">
              <a16:predDERef xmlns:a16="http://schemas.microsoft.com/office/drawing/2014/main" pred="{1CC6A6F1-5EC8-4BC0-9A06-6A35404D0BF7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45</xdr:row>
      <xdr:rowOff>161925</xdr:rowOff>
    </xdr:from>
    <xdr:to>
      <xdr:col>3</xdr:col>
      <xdr:colOff>85725</xdr:colOff>
      <xdr:row>47</xdr:row>
      <xdr:rowOff>0</xdr:rowOff>
    </xdr:to>
    <xdr:sp macro="" textlink="">
      <xdr:nvSpPr>
        <xdr:cNvPr id="21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D8000000}"/>
            </a:ext>
            <a:ext uri="{147F2762-F138-4A5C-976F-8EAC2B608ADB}">
              <a16:predDERef xmlns:a16="http://schemas.microsoft.com/office/drawing/2014/main" pred="{3AEBCA3A-D89D-4774-86EE-A9BDD0D79BC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46</xdr:row>
      <xdr:rowOff>161925</xdr:rowOff>
    </xdr:from>
    <xdr:to>
      <xdr:col>3</xdr:col>
      <xdr:colOff>76200</xdr:colOff>
      <xdr:row>48</xdr:row>
      <xdr:rowOff>0</xdr:rowOff>
    </xdr:to>
    <xdr:sp macro="" textlink="">
      <xdr:nvSpPr>
        <xdr:cNvPr id="21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9000000}"/>
            </a:ext>
            <a:ext uri="{147F2762-F138-4A5C-976F-8EAC2B608ADB}">
              <a16:predDERef xmlns:a16="http://schemas.microsoft.com/office/drawing/2014/main" pred="{02705100-9A37-4C1F-B8D9-B2EE5F4A3CB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46</xdr:row>
      <xdr:rowOff>171450</xdr:rowOff>
    </xdr:from>
    <xdr:to>
      <xdr:col>3</xdr:col>
      <xdr:colOff>76200</xdr:colOff>
      <xdr:row>48</xdr:row>
      <xdr:rowOff>9525</xdr:rowOff>
    </xdr:to>
    <xdr:sp macro="" textlink="">
      <xdr:nvSpPr>
        <xdr:cNvPr id="21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DA000000}"/>
            </a:ext>
            <a:ext uri="{147F2762-F138-4A5C-976F-8EAC2B608ADB}">
              <a16:predDERef xmlns:a16="http://schemas.microsoft.com/office/drawing/2014/main" pred="{0ADD1C29-BCB4-4CBC-B1D8-21931E30F80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46</xdr:row>
      <xdr:rowOff>161925</xdr:rowOff>
    </xdr:from>
    <xdr:to>
      <xdr:col>3</xdr:col>
      <xdr:colOff>76200</xdr:colOff>
      <xdr:row>48</xdr:row>
      <xdr:rowOff>0</xdr:rowOff>
    </xdr:to>
    <xdr:sp macro="" textlink="">
      <xdr:nvSpPr>
        <xdr:cNvPr id="21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B000000}"/>
            </a:ext>
            <a:ext uri="{147F2762-F138-4A5C-976F-8EAC2B608ADB}">
              <a16:predDERef xmlns:a16="http://schemas.microsoft.com/office/drawing/2014/main" pred="{CD686FF5-7218-4487-9F65-88FBF586503A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46</xdr:row>
      <xdr:rowOff>161925</xdr:rowOff>
    </xdr:from>
    <xdr:to>
      <xdr:col>3</xdr:col>
      <xdr:colOff>85725</xdr:colOff>
      <xdr:row>48</xdr:row>
      <xdr:rowOff>0</xdr:rowOff>
    </xdr:to>
    <xdr:sp macro="" textlink="">
      <xdr:nvSpPr>
        <xdr:cNvPr id="22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DC000000}"/>
            </a:ext>
            <a:ext uri="{147F2762-F138-4A5C-976F-8EAC2B608ADB}">
              <a16:predDERef xmlns:a16="http://schemas.microsoft.com/office/drawing/2014/main" pred="{D3354B38-A9BB-40CD-93B8-2995CF2A5EB8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47</xdr:row>
      <xdr:rowOff>161925</xdr:rowOff>
    </xdr:from>
    <xdr:to>
      <xdr:col>3</xdr:col>
      <xdr:colOff>76200</xdr:colOff>
      <xdr:row>49</xdr:row>
      <xdr:rowOff>0</xdr:rowOff>
    </xdr:to>
    <xdr:sp macro="" textlink="">
      <xdr:nvSpPr>
        <xdr:cNvPr id="22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D000000}"/>
            </a:ext>
            <a:ext uri="{147F2762-F138-4A5C-976F-8EAC2B608ADB}">
              <a16:predDERef xmlns:a16="http://schemas.microsoft.com/office/drawing/2014/main" pred="{193D987F-F4CA-4A5F-8603-A900673290E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47</xdr:row>
      <xdr:rowOff>171450</xdr:rowOff>
    </xdr:from>
    <xdr:to>
      <xdr:col>3</xdr:col>
      <xdr:colOff>76200</xdr:colOff>
      <xdr:row>49</xdr:row>
      <xdr:rowOff>9525</xdr:rowOff>
    </xdr:to>
    <xdr:sp macro="" textlink="">
      <xdr:nvSpPr>
        <xdr:cNvPr id="22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DE000000}"/>
            </a:ext>
            <a:ext uri="{147F2762-F138-4A5C-976F-8EAC2B608ADB}">
              <a16:predDERef xmlns:a16="http://schemas.microsoft.com/office/drawing/2014/main" pred="{B62363D9-DF83-4024-8DBC-000A0DA03138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47</xdr:row>
      <xdr:rowOff>161925</xdr:rowOff>
    </xdr:from>
    <xdr:to>
      <xdr:col>3</xdr:col>
      <xdr:colOff>76200</xdr:colOff>
      <xdr:row>49</xdr:row>
      <xdr:rowOff>0</xdr:rowOff>
    </xdr:to>
    <xdr:sp macro="" textlink="">
      <xdr:nvSpPr>
        <xdr:cNvPr id="22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DF000000}"/>
            </a:ext>
            <a:ext uri="{147F2762-F138-4A5C-976F-8EAC2B608ADB}">
              <a16:predDERef xmlns:a16="http://schemas.microsoft.com/office/drawing/2014/main" pred="{CF7747A8-1F9B-45F0-AA88-49C9FE53583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47</xdr:row>
      <xdr:rowOff>161925</xdr:rowOff>
    </xdr:from>
    <xdr:to>
      <xdr:col>3</xdr:col>
      <xdr:colOff>85725</xdr:colOff>
      <xdr:row>49</xdr:row>
      <xdr:rowOff>0</xdr:rowOff>
    </xdr:to>
    <xdr:sp macro="" textlink="">
      <xdr:nvSpPr>
        <xdr:cNvPr id="22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E0000000}"/>
            </a:ext>
            <a:ext uri="{147F2762-F138-4A5C-976F-8EAC2B608ADB}">
              <a16:predDERef xmlns:a16="http://schemas.microsoft.com/office/drawing/2014/main" pred="{89710C88-CE53-41BF-A352-8CE8BF9C2C61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48</xdr:row>
      <xdr:rowOff>161925</xdr:rowOff>
    </xdr:from>
    <xdr:to>
      <xdr:col>3</xdr:col>
      <xdr:colOff>76200</xdr:colOff>
      <xdr:row>50</xdr:row>
      <xdr:rowOff>0</xdr:rowOff>
    </xdr:to>
    <xdr:sp macro="" textlink="">
      <xdr:nvSpPr>
        <xdr:cNvPr id="22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1000000}"/>
            </a:ext>
            <a:ext uri="{147F2762-F138-4A5C-976F-8EAC2B608ADB}">
              <a16:predDERef xmlns:a16="http://schemas.microsoft.com/office/drawing/2014/main" pred="{A394CBEA-4922-43CA-8689-107406BF659B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48</xdr:row>
      <xdr:rowOff>171450</xdr:rowOff>
    </xdr:from>
    <xdr:to>
      <xdr:col>3</xdr:col>
      <xdr:colOff>76200</xdr:colOff>
      <xdr:row>50</xdr:row>
      <xdr:rowOff>9525</xdr:rowOff>
    </xdr:to>
    <xdr:sp macro="" textlink="">
      <xdr:nvSpPr>
        <xdr:cNvPr id="22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E2000000}"/>
            </a:ext>
            <a:ext uri="{147F2762-F138-4A5C-976F-8EAC2B608ADB}">
              <a16:predDERef xmlns:a16="http://schemas.microsoft.com/office/drawing/2014/main" pred="{08B3CF47-5BC4-4BBD-BA0B-36CEA131EF97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48</xdr:row>
      <xdr:rowOff>161925</xdr:rowOff>
    </xdr:from>
    <xdr:to>
      <xdr:col>3</xdr:col>
      <xdr:colOff>76200</xdr:colOff>
      <xdr:row>50</xdr:row>
      <xdr:rowOff>0</xdr:rowOff>
    </xdr:to>
    <xdr:sp macro="" textlink="">
      <xdr:nvSpPr>
        <xdr:cNvPr id="22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3000000}"/>
            </a:ext>
            <a:ext uri="{147F2762-F138-4A5C-976F-8EAC2B608ADB}">
              <a16:predDERef xmlns:a16="http://schemas.microsoft.com/office/drawing/2014/main" pred="{9DD7F37A-DA45-4922-B056-56AD2E7B836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48</xdr:row>
      <xdr:rowOff>161925</xdr:rowOff>
    </xdr:from>
    <xdr:to>
      <xdr:col>3</xdr:col>
      <xdr:colOff>85725</xdr:colOff>
      <xdr:row>50</xdr:row>
      <xdr:rowOff>0</xdr:rowOff>
    </xdr:to>
    <xdr:sp macro="" textlink="">
      <xdr:nvSpPr>
        <xdr:cNvPr id="22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E4000000}"/>
            </a:ext>
            <a:ext uri="{147F2762-F138-4A5C-976F-8EAC2B608ADB}">
              <a16:predDERef xmlns:a16="http://schemas.microsoft.com/office/drawing/2014/main" pred="{7EB92D9F-3218-4405-A386-51FCCF9E71EC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49</xdr:row>
      <xdr:rowOff>161925</xdr:rowOff>
    </xdr:from>
    <xdr:to>
      <xdr:col>3</xdr:col>
      <xdr:colOff>76200</xdr:colOff>
      <xdr:row>51</xdr:row>
      <xdr:rowOff>0</xdr:rowOff>
    </xdr:to>
    <xdr:sp macro="" textlink="">
      <xdr:nvSpPr>
        <xdr:cNvPr id="22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5000000}"/>
            </a:ext>
            <a:ext uri="{147F2762-F138-4A5C-976F-8EAC2B608ADB}">
              <a16:predDERef xmlns:a16="http://schemas.microsoft.com/office/drawing/2014/main" pred="{3E2E761A-97E5-44FD-B694-85A08CAE1A6D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49</xdr:row>
      <xdr:rowOff>171450</xdr:rowOff>
    </xdr:from>
    <xdr:to>
      <xdr:col>3</xdr:col>
      <xdr:colOff>76200</xdr:colOff>
      <xdr:row>51</xdr:row>
      <xdr:rowOff>9525</xdr:rowOff>
    </xdr:to>
    <xdr:sp macro="" textlink="">
      <xdr:nvSpPr>
        <xdr:cNvPr id="23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E6000000}"/>
            </a:ext>
            <a:ext uri="{147F2762-F138-4A5C-976F-8EAC2B608ADB}">
              <a16:predDERef xmlns:a16="http://schemas.microsoft.com/office/drawing/2014/main" pred="{51830EA4-DBF6-4DD4-87C3-54775FC0E780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49</xdr:row>
      <xdr:rowOff>161925</xdr:rowOff>
    </xdr:from>
    <xdr:to>
      <xdr:col>3</xdr:col>
      <xdr:colOff>76200</xdr:colOff>
      <xdr:row>51</xdr:row>
      <xdr:rowOff>0</xdr:rowOff>
    </xdr:to>
    <xdr:sp macro="" textlink="">
      <xdr:nvSpPr>
        <xdr:cNvPr id="23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7000000}"/>
            </a:ext>
            <a:ext uri="{147F2762-F138-4A5C-976F-8EAC2B608ADB}">
              <a16:predDERef xmlns:a16="http://schemas.microsoft.com/office/drawing/2014/main" pred="{853C3312-AC82-4B9E-BB6D-0B7E404A8FB5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49</xdr:row>
      <xdr:rowOff>161925</xdr:rowOff>
    </xdr:from>
    <xdr:to>
      <xdr:col>3</xdr:col>
      <xdr:colOff>85725</xdr:colOff>
      <xdr:row>51</xdr:row>
      <xdr:rowOff>0</xdr:rowOff>
    </xdr:to>
    <xdr:sp macro="" textlink="">
      <xdr:nvSpPr>
        <xdr:cNvPr id="23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E8000000}"/>
            </a:ext>
            <a:ext uri="{147F2762-F138-4A5C-976F-8EAC2B608ADB}">
              <a16:predDERef xmlns:a16="http://schemas.microsoft.com/office/drawing/2014/main" pred="{6852E961-594C-46D8-9CB7-B5E5934A381E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50</xdr:row>
      <xdr:rowOff>161925</xdr:rowOff>
    </xdr:from>
    <xdr:to>
      <xdr:col>3</xdr:col>
      <xdr:colOff>76200</xdr:colOff>
      <xdr:row>52</xdr:row>
      <xdr:rowOff>0</xdr:rowOff>
    </xdr:to>
    <xdr:sp macro="" textlink="">
      <xdr:nvSpPr>
        <xdr:cNvPr id="23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9000000}"/>
            </a:ext>
            <a:ext uri="{147F2762-F138-4A5C-976F-8EAC2B608ADB}">
              <a16:predDERef xmlns:a16="http://schemas.microsoft.com/office/drawing/2014/main" pred="{894BB14F-AC93-43D9-BDE4-AF8614EF232B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50</xdr:row>
      <xdr:rowOff>171450</xdr:rowOff>
    </xdr:from>
    <xdr:to>
      <xdr:col>3</xdr:col>
      <xdr:colOff>76200</xdr:colOff>
      <xdr:row>52</xdr:row>
      <xdr:rowOff>9525</xdr:rowOff>
    </xdr:to>
    <xdr:sp macro="" textlink="">
      <xdr:nvSpPr>
        <xdr:cNvPr id="23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EA000000}"/>
            </a:ext>
            <a:ext uri="{147F2762-F138-4A5C-976F-8EAC2B608ADB}">
              <a16:predDERef xmlns:a16="http://schemas.microsoft.com/office/drawing/2014/main" pred="{EE0F70C8-00E5-4F5A-B073-5E5EA46CD78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50</xdr:row>
      <xdr:rowOff>161925</xdr:rowOff>
    </xdr:from>
    <xdr:to>
      <xdr:col>3</xdr:col>
      <xdr:colOff>76200</xdr:colOff>
      <xdr:row>52</xdr:row>
      <xdr:rowOff>0</xdr:rowOff>
    </xdr:to>
    <xdr:sp macro="" textlink="">
      <xdr:nvSpPr>
        <xdr:cNvPr id="23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B000000}"/>
            </a:ext>
            <a:ext uri="{147F2762-F138-4A5C-976F-8EAC2B608ADB}">
              <a16:predDERef xmlns:a16="http://schemas.microsoft.com/office/drawing/2014/main" pred="{81C96484-4D4C-4D4F-8776-776B19CECEC4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50</xdr:row>
      <xdr:rowOff>161925</xdr:rowOff>
    </xdr:from>
    <xdr:to>
      <xdr:col>3</xdr:col>
      <xdr:colOff>85725</xdr:colOff>
      <xdr:row>52</xdr:row>
      <xdr:rowOff>0</xdr:rowOff>
    </xdr:to>
    <xdr:sp macro="" textlink="">
      <xdr:nvSpPr>
        <xdr:cNvPr id="23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EC000000}"/>
            </a:ext>
            <a:ext uri="{147F2762-F138-4A5C-976F-8EAC2B608ADB}">
              <a16:predDERef xmlns:a16="http://schemas.microsoft.com/office/drawing/2014/main" pred="{D04FBD61-A95A-4490-83D5-67707911F000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51</xdr:row>
      <xdr:rowOff>161925</xdr:rowOff>
    </xdr:from>
    <xdr:to>
      <xdr:col>3</xdr:col>
      <xdr:colOff>76200</xdr:colOff>
      <xdr:row>53</xdr:row>
      <xdr:rowOff>0</xdr:rowOff>
    </xdr:to>
    <xdr:sp macro="" textlink="">
      <xdr:nvSpPr>
        <xdr:cNvPr id="23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D000000}"/>
            </a:ext>
            <a:ext uri="{147F2762-F138-4A5C-976F-8EAC2B608ADB}">
              <a16:predDERef xmlns:a16="http://schemas.microsoft.com/office/drawing/2014/main" pred="{93750E49-629B-402E-8704-43AB2022EC32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51</xdr:row>
      <xdr:rowOff>171450</xdr:rowOff>
    </xdr:from>
    <xdr:to>
      <xdr:col>3</xdr:col>
      <xdr:colOff>76200</xdr:colOff>
      <xdr:row>53</xdr:row>
      <xdr:rowOff>9525</xdr:rowOff>
    </xdr:to>
    <xdr:sp macro="" textlink="">
      <xdr:nvSpPr>
        <xdr:cNvPr id="23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EE000000}"/>
            </a:ext>
            <a:ext uri="{147F2762-F138-4A5C-976F-8EAC2B608ADB}">
              <a16:predDERef xmlns:a16="http://schemas.microsoft.com/office/drawing/2014/main" pred="{12F7CF0A-9689-4300-A646-6736ED6D64E2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51</xdr:row>
      <xdr:rowOff>161925</xdr:rowOff>
    </xdr:from>
    <xdr:to>
      <xdr:col>3</xdr:col>
      <xdr:colOff>76200</xdr:colOff>
      <xdr:row>53</xdr:row>
      <xdr:rowOff>0</xdr:rowOff>
    </xdr:to>
    <xdr:sp macro="" textlink="">
      <xdr:nvSpPr>
        <xdr:cNvPr id="23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EF000000}"/>
            </a:ext>
            <a:ext uri="{147F2762-F138-4A5C-976F-8EAC2B608ADB}">
              <a16:predDERef xmlns:a16="http://schemas.microsoft.com/office/drawing/2014/main" pred="{8796068F-300E-48A8-BC0C-7BABD1C8FDC8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51</xdr:row>
      <xdr:rowOff>161925</xdr:rowOff>
    </xdr:from>
    <xdr:to>
      <xdr:col>3</xdr:col>
      <xdr:colOff>85725</xdr:colOff>
      <xdr:row>53</xdr:row>
      <xdr:rowOff>0</xdr:rowOff>
    </xdr:to>
    <xdr:sp macro="" textlink="">
      <xdr:nvSpPr>
        <xdr:cNvPr id="24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F0000000}"/>
            </a:ext>
            <a:ext uri="{147F2762-F138-4A5C-976F-8EAC2B608ADB}">
              <a16:predDERef xmlns:a16="http://schemas.microsoft.com/office/drawing/2014/main" pred="{4F8533B9-93A2-49AE-B453-0435E5F36095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52</xdr:row>
      <xdr:rowOff>161925</xdr:rowOff>
    </xdr:from>
    <xdr:to>
      <xdr:col>3</xdr:col>
      <xdr:colOff>76200</xdr:colOff>
      <xdr:row>54</xdr:row>
      <xdr:rowOff>0</xdr:rowOff>
    </xdr:to>
    <xdr:sp macro="" textlink="">
      <xdr:nvSpPr>
        <xdr:cNvPr id="24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1000000}"/>
            </a:ext>
            <a:ext uri="{147F2762-F138-4A5C-976F-8EAC2B608ADB}">
              <a16:predDERef xmlns:a16="http://schemas.microsoft.com/office/drawing/2014/main" pred="{BE1AF6A6-DD6F-47F2-9B71-AEF41D0854DA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52</xdr:row>
      <xdr:rowOff>171450</xdr:rowOff>
    </xdr:from>
    <xdr:to>
      <xdr:col>3</xdr:col>
      <xdr:colOff>76200</xdr:colOff>
      <xdr:row>54</xdr:row>
      <xdr:rowOff>9525</xdr:rowOff>
    </xdr:to>
    <xdr:sp macro="" textlink="">
      <xdr:nvSpPr>
        <xdr:cNvPr id="24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F2000000}"/>
            </a:ext>
            <a:ext uri="{147F2762-F138-4A5C-976F-8EAC2B608ADB}">
              <a16:predDERef xmlns:a16="http://schemas.microsoft.com/office/drawing/2014/main" pred="{9FC089E6-9F24-4CD6-B5BF-9DD8CCF677CD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52</xdr:row>
      <xdr:rowOff>161925</xdr:rowOff>
    </xdr:from>
    <xdr:to>
      <xdr:col>3</xdr:col>
      <xdr:colOff>76200</xdr:colOff>
      <xdr:row>54</xdr:row>
      <xdr:rowOff>0</xdr:rowOff>
    </xdr:to>
    <xdr:sp macro="" textlink="">
      <xdr:nvSpPr>
        <xdr:cNvPr id="24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3000000}"/>
            </a:ext>
            <a:ext uri="{147F2762-F138-4A5C-976F-8EAC2B608ADB}">
              <a16:predDERef xmlns:a16="http://schemas.microsoft.com/office/drawing/2014/main" pred="{4861B0B6-EED0-401E-922B-8B5E0330DD8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52</xdr:row>
      <xdr:rowOff>161925</xdr:rowOff>
    </xdr:from>
    <xdr:to>
      <xdr:col>3</xdr:col>
      <xdr:colOff>85725</xdr:colOff>
      <xdr:row>54</xdr:row>
      <xdr:rowOff>0</xdr:rowOff>
    </xdr:to>
    <xdr:sp macro="" textlink="">
      <xdr:nvSpPr>
        <xdr:cNvPr id="24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F4000000}"/>
            </a:ext>
            <a:ext uri="{147F2762-F138-4A5C-976F-8EAC2B608ADB}">
              <a16:predDERef xmlns:a16="http://schemas.microsoft.com/office/drawing/2014/main" pred="{08709334-E06C-4E63-98A0-ED62EAD1D455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53</xdr:row>
      <xdr:rowOff>161925</xdr:rowOff>
    </xdr:from>
    <xdr:to>
      <xdr:col>3</xdr:col>
      <xdr:colOff>76200</xdr:colOff>
      <xdr:row>55</xdr:row>
      <xdr:rowOff>0</xdr:rowOff>
    </xdr:to>
    <xdr:sp macro="" textlink="">
      <xdr:nvSpPr>
        <xdr:cNvPr id="24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5000000}"/>
            </a:ext>
            <a:ext uri="{147F2762-F138-4A5C-976F-8EAC2B608ADB}">
              <a16:predDERef xmlns:a16="http://schemas.microsoft.com/office/drawing/2014/main" pred="{4F9D564D-6DDE-4B5A-A4B1-23F3C7DBDC1B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53</xdr:row>
      <xdr:rowOff>171450</xdr:rowOff>
    </xdr:from>
    <xdr:to>
      <xdr:col>3</xdr:col>
      <xdr:colOff>76200</xdr:colOff>
      <xdr:row>55</xdr:row>
      <xdr:rowOff>9525</xdr:rowOff>
    </xdr:to>
    <xdr:sp macro="" textlink="">
      <xdr:nvSpPr>
        <xdr:cNvPr id="24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F6000000}"/>
            </a:ext>
            <a:ext uri="{147F2762-F138-4A5C-976F-8EAC2B608ADB}">
              <a16:predDERef xmlns:a16="http://schemas.microsoft.com/office/drawing/2014/main" pred="{6399E75F-4D81-4FB0-B491-1CAB23801CE1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53</xdr:row>
      <xdr:rowOff>161925</xdr:rowOff>
    </xdr:from>
    <xdr:to>
      <xdr:col>3</xdr:col>
      <xdr:colOff>76200</xdr:colOff>
      <xdr:row>55</xdr:row>
      <xdr:rowOff>0</xdr:rowOff>
    </xdr:to>
    <xdr:sp macro="" textlink="">
      <xdr:nvSpPr>
        <xdr:cNvPr id="24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7000000}"/>
            </a:ext>
            <a:ext uri="{147F2762-F138-4A5C-976F-8EAC2B608ADB}">
              <a16:predDERef xmlns:a16="http://schemas.microsoft.com/office/drawing/2014/main" pred="{68B46BF1-6393-45AD-8673-55A5253F1A63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53</xdr:row>
      <xdr:rowOff>161925</xdr:rowOff>
    </xdr:from>
    <xdr:to>
      <xdr:col>3</xdr:col>
      <xdr:colOff>85725</xdr:colOff>
      <xdr:row>55</xdr:row>
      <xdr:rowOff>0</xdr:rowOff>
    </xdr:to>
    <xdr:sp macro="" textlink="">
      <xdr:nvSpPr>
        <xdr:cNvPr id="24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F8000000}"/>
            </a:ext>
            <a:ext uri="{147F2762-F138-4A5C-976F-8EAC2B608ADB}">
              <a16:predDERef xmlns:a16="http://schemas.microsoft.com/office/drawing/2014/main" pred="{E7D7F5D8-7251-482D-884E-F11703B29FDB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54</xdr:row>
      <xdr:rowOff>161925</xdr:rowOff>
    </xdr:from>
    <xdr:to>
      <xdr:col>3</xdr:col>
      <xdr:colOff>76200</xdr:colOff>
      <xdr:row>56</xdr:row>
      <xdr:rowOff>0</xdr:rowOff>
    </xdr:to>
    <xdr:sp macro="" textlink="">
      <xdr:nvSpPr>
        <xdr:cNvPr id="24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9000000}"/>
            </a:ext>
            <a:ext uri="{147F2762-F138-4A5C-976F-8EAC2B608ADB}">
              <a16:predDERef xmlns:a16="http://schemas.microsoft.com/office/drawing/2014/main" pred="{FA59FC3B-CD79-4658-99E0-9CCAEA2EE3FE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54</xdr:row>
      <xdr:rowOff>171450</xdr:rowOff>
    </xdr:from>
    <xdr:to>
      <xdr:col>3</xdr:col>
      <xdr:colOff>76200</xdr:colOff>
      <xdr:row>56</xdr:row>
      <xdr:rowOff>9525</xdr:rowOff>
    </xdr:to>
    <xdr:sp macro="" textlink="">
      <xdr:nvSpPr>
        <xdr:cNvPr id="25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FA000000}"/>
            </a:ext>
            <a:ext uri="{147F2762-F138-4A5C-976F-8EAC2B608ADB}">
              <a16:predDERef xmlns:a16="http://schemas.microsoft.com/office/drawing/2014/main" pred="{9DE015F8-DE9B-4A35-828A-B0CABEAF1DED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54</xdr:row>
      <xdr:rowOff>161925</xdr:rowOff>
    </xdr:from>
    <xdr:to>
      <xdr:col>3</xdr:col>
      <xdr:colOff>76200</xdr:colOff>
      <xdr:row>56</xdr:row>
      <xdr:rowOff>0</xdr:rowOff>
    </xdr:to>
    <xdr:sp macro="" textlink="">
      <xdr:nvSpPr>
        <xdr:cNvPr id="25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B000000}"/>
            </a:ext>
            <a:ext uri="{147F2762-F138-4A5C-976F-8EAC2B608ADB}">
              <a16:predDERef xmlns:a16="http://schemas.microsoft.com/office/drawing/2014/main" pred="{D6930FFB-F66D-4826-81ED-50396A556B1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54</xdr:row>
      <xdr:rowOff>161925</xdr:rowOff>
    </xdr:from>
    <xdr:to>
      <xdr:col>3</xdr:col>
      <xdr:colOff>85725</xdr:colOff>
      <xdr:row>56</xdr:row>
      <xdr:rowOff>0</xdr:rowOff>
    </xdr:to>
    <xdr:sp macro="" textlink="">
      <xdr:nvSpPr>
        <xdr:cNvPr id="25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FC000000}"/>
            </a:ext>
            <a:ext uri="{147F2762-F138-4A5C-976F-8EAC2B608ADB}">
              <a16:predDERef xmlns:a16="http://schemas.microsoft.com/office/drawing/2014/main" pred="{53305A78-EE4D-44B6-9EB0-E13AF7045F50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55</xdr:row>
      <xdr:rowOff>161925</xdr:rowOff>
    </xdr:from>
    <xdr:to>
      <xdr:col>3</xdr:col>
      <xdr:colOff>76200</xdr:colOff>
      <xdr:row>57</xdr:row>
      <xdr:rowOff>0</xdr:rowOff>
    </xdr:to>
    <xdr:sp macro="" textlink="">
      <xdr:nvSpPr>
        <xdr:cNvPr id="25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D000000}"/>
            </a:ext>
            <a:ext uri="{147F2762-F138-4A5C-976F-8EAC2B608ADB}">
              <a16:predDERef xmlns:a16="http://schemas.microsoft.com/office/drawing/2014/main" pred="{48B786EE-BF64-4071-B51F-C8B45A6DA0CF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55</xdr:row>
      <xdr:rowOff>171450</xdr:rowOff>
    </xdr:from>
    <xdr:to>
      <xdr:col>3</xdr:col>
      <xdr:colOff>76200</xdr:colOff>
      <xdr:row>57</xdr:row>
      <xdr:rowOff>9525</xdr:rowOff>
    </xdr:to>
    <xdr:sp macro="" textlink="">
      <xdr:nvSpPr>
        <xdr:cNvPr id="25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FE000000}"/>
            </a:ext>
            <a:ext uri="{147F2762-F138-4A5C-976F-8EAC2B608ADB}">
              <a16:predDERef xmlns:a16="http://schemas.microsoft.com/office/drawing/2014/main" pred="{D902A872-169C-4413-8EDD-E67AAB506EF1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55</xdr:row>
      <xdr:rowOff>161925</xdr:rowOff>
    </xdr:from>
    <xdr:to>
      <xdr:col>3</xdr:col>
      <xdr:colOff>76200</xdr:colOff>
      <xdr:row>57</xdr:row>
      <xdr:rowOff>0</xdr:rowOff>
    </xdr:to>
    <xdr:sp macro="" textlink="">
      <xdr:nvSpPr>
        <xdr:cNvPr id="25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FF000000}"/>
            </a:ext>
            <a:ext uri="{147F2762-F138-4A5C-976F-8EAC2B608ADB}">
              <a16:predDERef xmlns:a16="http://schemas.microsoft.com/office/drawing/2014/main" pred="{173813B2-0FA8-47AD-A48B-A9411413BF18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55</xdr:row>
      <xdr:rowOff>161925</xdr:rowOff>
    </xdr:from>
    <xdr:to>
      <xdr:col>3</xdr:col>
      <xdr:colOff>85725</xdr:colOff>
      <xdr:row>57</xdr:row>
      <xdr:rowOff>0</xdr:rowOff>
    </xdr:to>
    <xdr:sp macro="" textlink="">
      <xdr:nvSpPr>
        <xdr:cNvPr id="25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00010000}"/>
            </a:ext>
            <a:ext uri="{147F2762-F138-4A5C-976F-8EAC2B608ADB}">
              <a16:predDERef xmlns:a16="http://schemas.microsoft.com/office/drawing/2014/main" pred="{4509306F-FFAB-4ED0-A4F8-93AEA22F072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56</xdr:row>
      <xdr:rowOff>161925</xdr:rowOff>
    </xdr:from>
    <xdr:to>
      <xdr:col>3</xdr:col>
      <xdr:colOff>76200</xdr:colOff>
      <xdr:row>58</xdr:row>
      <xdr:rowOff>0</xdr:rowOff>
    </xdr:to>
    <xdr:sp macro="" textlink="">
      <xdr:nvSpPr>
        <xdr:cNvPr id="25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1010000}"/>
            </a:ext>
            <a:ext uri="{147F2762-F138-4A5C-976F-8EAC2B608ADB}">
              <a16:predDERef xmlns:a16="http://schemas.microsoft.com/office/drawing/2014/main" pred="{25FDDEB0-CD15-438F-9F1C-1B50B9FADBD1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56</xdr:row>
      <xdr:rowOff>171450</xdr:rowOff>
    </xdr:from>
    <xdr:to>
      <xdr:col>3</xdr:col>
      <xdr:colOff>76200</xdr:colOff>
      <xdr:row>58</xdr:row>
      <xdr:rowOff>9525</xdr:rowOff>
    </xdr:to>
    <xdr:sp macro="" textlink="">
      <xdr:nvSpPr>
        <xdr:cNvPr id="25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02010000}"/>
            </a:ext>
            <a:ext uri="{147F2762-F138-4A5C-976F-8EAC2B608ADB}">
              <a16:predDERef xmlns:a16="http://schemas.microsoft.com/office/drawing/2014/main" pred="{9A4A2DAF-5496-44A1-9D9F-D4EB855CE1DC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56</xdr:row>
      <xdr:rowOff>161925</xdr:rowOff>
    </xdr:from>
    <xdr:to>
      <xdr:col>3</xdr:col>
      <xdr:colOff>76200</xdr:colOff>
      <xdr:row>58</xdr:row>
      <xdr:rowOff>0</xdr:rowOff>
    </xdr:to>
    <xdr:sp macro="" textlink="">
      <xdr:nvSpPr>
        <xdr:cNvPr id="25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3010000}"/>
            </a:ext>
            <a:ext uri="{147F2762-F138-4A5C-976F-8EAC2B608ADB}">
              <a16:predDERef xmlns:a16="http://schemas.microsoft.com/office/drawing/2014/main" pred="{83A15567-EC12-4155-A894-69DEC7BCC378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56</xdr:row>
      <xdr:rowOff>161925</xdr:rowOff>
    </xdr:from>
    <xdr:to>
      <xdr:col>3</xdr:col>
      <xdr:colOff>85725</xdr:colOff>
      <xdr:row>58</xdr:row>
      <xdr:rowOff>0</xdr:rowOff>
    </xdr:to>
    <xdr:sp macro="" textlink="">
      <xdr:nvSpPr>
        <xdr:cNvPr id="26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04010000}"/>
            </a:ext>
            <a:ext uri="{147F2762-F138-4A5C-976F-8EAC2B608ADB}">
              <a16:predDERef xmlns:a16="http://schemas.microsoft.com/office/drawing/2014/main" pred="{C691D72C-650C-4AD9-9A35-5BBC9FC8C159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57</xdr:row>
      <xdr:rowOff>161925</xdr:rowOff>
    </xdr:from>
    <xdr:to>
      <xdr:col>3</xdr:col>
      <xdr:colOff>76200</xdr:colOff>
      <xdr:row>59</xdr:row>
      <xdr:rowOff>0</xdr:rowOff>
    </xdr:to>
    <xdr:sp macro="" textlink="">
      <xdr:nvSpPr>
        <xdr:cNvPr id="26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5010000}"/>
            </a:ext>
            <a:ext uri="{147F2762-F138-4A5C-976F-8EAC2B608ADB}">
              <a16:predDERef xmlns:a16="http://schemas.microsoft.com/office/drawing/2014/main" pred="{52140E27-F23B-49FD-B17F-AC4D5B295652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57</xdr:row>
      <xdr:rowOff>171450</xdr:rowOff>
    </xdr:from>
    <xdr:to>
      <xdr:col>3</xdr:col>
      <xdr:colOff>76200</xdr:colOff>
      <xdr:row>59</xdr:row>
      <xdr:rowOff>9525</xdr:rowOff>
    </xdr:to>
    <xdr:sp macro="" textlink="">
      <xdr:nvSpPr>
        <xdr:cNvPr id="26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06010000}"/>
            </a:ext>
            <a:ext uri="{147F2762-F138-4A5C-976F-8EAC2B608ADB}">
              <a16:predDERef xmlns:a16="http://schemas.microsoft.com/office/drawing/2014/main" pred="{FF4F2C84-5052-4EC8-8528-CA745A045816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57</xdr:row>
      <xdr:rowOff>161925</xdr:rowOff>
    </xdr:from>
    <xdr:to>
      <xdr:col>3</xdr:col>
      <xdr:colOff>76200</xdr:colOff>
      <xdr:row>59</xdr:row>
      <xdr:rowOff>0</xdr:rowOff>
    </xdr:to>
    <xdr:sp macro="" textlink="">
      <xdr:nvSpPr>
        <xdr:cNvPr id="26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7010000}"/>
            </a:ext>
            <a:ext uri="{147F2762-F138-4A5C-976F-8EAC2B608ADB}">
              <a16:predDERef xmlns:a16="http://schemas.microsoft.com/office/drawing/2014/main" pred="{6E4D5086-960B-49B2-AE71-A234751273F0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57</xdr:row>
      <xdr:rowOff>161925</xdr:rowOff>
    </xdr:from>
    <xdr:to>
      <xdr:col>3</xdr:col>
      <xdr:colOff>85725</xdr:colOff>
      <xdr:row>59</xdr:row>
      <xdr:rowOff>0</xdr:rowOff>
    </xdr:to>
    <xdr:sp macro="" textlink="">
      <xdr:nvSpPr>
        <xdr:cNvPr id="26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08010000}"/>
            </a:ext>
            <a:ext uri="{147F2762-F138-4A5C-976F-8EAC2B608ADB}">
              <a16:predDERef xmlns:a16="http://schemas.microsoft.com/office/drawing/2014/main" pred="{5A3B16C3-018C-496E-9D62-0ABE2AD24D89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58</xdr:row>
      <xdr:rowOff>161925</xdr:rowOff>
    </xdr:from>
    <xdr:to>
      <xdr:col>3</xdr:col>
      <xdr:colOff>76200</xdr:colOff>
      <xdr:row>60</xdr:row>
      <xdr:rowOff>0</xdr:rowOff>
    </xdr:to>
    <xdr:sp macro="" textlink="">
      <xdr:nvSpPr>
        <xdr:cNvPr id="26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9010000}"/>
            </a:ext>
            <a:ext uri="{147F2762-F138-4A5C-976F-8EAC2B608ADB}">
              <a16:predDERef xmlns:a16="http://schemas.microsoft.com/office/drawing/2014/main" pred="{FEC67663-2028-4C80-8BB6-9661DE2D113C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58</xdr:row>
      <xdr:rowOff>171450</xdr:rowOff>
    </xdr:from>
    <xdr:to>
      <xdr:col>3</xdr:col>
      <xdr:colOff>76200</xdr:colOff>
      <xdr:row>60</xdr:row>
      <xdr:rowOff>9525</xdr:rowOff>
    </xdr:to>
    <xdr:sp macro="" textlink="">
      <xdr:nvSpPr>
        <xdr:cNvPr id="26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0A010000}"/>
            </a:ext>
            <a:ext uri="{147F2762-F138-4A5C-976F-8EAC2B608ADB}">
              <a16:predDERef xmlns:a16="http://schemas.microsoft.com/office/drawing/2014/main" pred="{25626DD1-4982-4BE6-99FB-31B53FF84F9C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58</xdr:row>
      <xdr:rowOff>161925</xdr:rowOff>
    </xdr:from>
    <xdr:to>
      <xdr:col>3</xdr:col>
      <xdr:colOff>76200</xdr:colOff>
      <xdr:row>60</xdr:row>
      <xdr:rowOff>0</xdr:rowOff>
    </xdr:to>
    <xdr:sp macro="" textlink="">
      <xdr:nvSpPr>
        <xdr:cNvPr id="26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B010000}"/>
            </a:ext>
            <a:ext uri="{147F2762-F138-4A5C-976F-8EAC2B608ADB}">
              <a16:predDERef xmlns:a16="http://schemas.microsoft.com/office/drawing/2014/main" pred="{56CD3BD7-28AC-4A0B-9629-21BD08F52221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58</xdr:row>
      <xdr:rowOff>161925</xdr:rowOff>
    </xdr:from>
    <xdr:to>
      <xdr:col>3</xdr:col>
      <xdr:colOff>85725</xdr:colOff>
      <xdr:row>60</xdr:row>
      <xdr:rowOff>0</xdr:rowOff>
    </xdr:to>
    <xdr:sp macro="" textlink="">
      <xdr:nvSpPr>
        <xdr:cNvPr id="26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0C010000}"/>
            </a:ext>
            <a:ext uri="{147F2762-F138-4A5C-976F-8EAC2B608ADB}">
              <a16:predDERef xmlns:a16="http://schemas.microsoft.com/office/drawing/2014/main" pred="{F7902D70-618C-4608-B9AF-5378A85FE5B6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59</xdr:row>
      <xdr:rowOff>161925</xdr:rowOff>
    </xdr:from>
    <xdr:to>
      <xdr:col>3</xdr:col>
      <xdr:colOff>76200</xdr:colOff>
      <xdr:row>61</xdr:row>
      <xdr:rowOff>0</xdr:rowOff>
    </xdr:to>
    <xdr:sp macro="" textlink="">
      <xdr:nvSpPr>
        <xdr:cNvPr id="26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D010000}"/>
            </a:ext>
            <a:ext uri="{147F2762-F138-4A5C-976F-8EAC2B608ADB}">
              <a16:predDERef xmlns:a16="http://schemas.microsoft.com/office/drawing/2014/main" pred="{8B0B1BEE-CA14-4DDF-BBB7-6E3474965636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59</xdr:row>
      <xdr:rowOff>171450</xdr:rowOff>
    </xdr:from>
    <xdr:to>
      <xdr:col>3</xdr:col>
      <xdr:colOff>76200</xdr:colOff>
      <xdr:row>61</xdr:row>
      <xdr:rowOff>9525</xdr:rowOff>
    </xdr:to>
    <xdr:sp macro="" textlink="">
      <xdr:nvSpPr>
        <xdr:cNvPr id="27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0E010000}"/>
            </a:ext>
            <a:ext uri="{147F2762-F138-4A5C-976F-8EAC2B608ADB}">
              <a16:predDERef xmlns:a16="http://schemas.microsoft.com/office/drawing/2014/main" pred="{BF0D6E27-1DF4-44E9-ABD8-4B85E6E71466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59</xdr:row>
      <xdr:rowOff>161925</xdr:rowOff>
    </xdr:from>
    <xdr:to>
      <xdr:col>3</xdr:col>
      <xdr:colOff>76200</xdr:colOff>
      <xdr:row>61</xdr:row>
      <xdr:rowOff>0</xdr:rowOff>
    </xdr:to>
    <xdr:sp macro="" textlink="">
      <xdr:nvSpPr>
        <xdr:cNvPr id="27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0F010000}"/>
            </a:ext>
            <a:ext uri="{147F2762-F138-4A5C-976F-8EAC2B608ADB}">
              <a16:predDERef xmlns:a16="http://schemas.microsoft.com/office/drawing/2014/main" pred="{14DD6018-B3FD-44E2-9E52-617036A6AA8C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59</xdr:row>
      <xdr:rowOff>161925</xdr:rowOff>
    </xdr:from>
    <xdr:to>
      <xdr:col>3</xdr:col>
      <xdr:colOff>85725</xdr:colOff>
      <xdr:row>61</xdr:row>
      <xdr:rowOff>0</xdr:rowOff>
    </xdr:to>
    <xdr:sp macro="" textlink="">
      <xdr:nvSpPr>
        <xdr:cNvPr id="27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10010000}"/>
            </a:ext>
            <a:ext uri="{147F2762-F138-4A5C-976F-8EAC2B608ADB}">
              <a16:predDERef xmlns:a16="http://schemas.microsoft.com/office/drawing/2014/main" pred="{8ED18A0D-CD06-41C6-8E49-1BF863883B4F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60</xdr:row>
      <xdr:rowOff>161925</xdr:rowOff>
    </xdr:from>
    <xdr:to>
      <xdr:col>3</xdr:col>
      <xdr:colOff>76200</xdr:colOff>
      <xdr:row>62</xdr:row>
      <xdr:rowOff>0</xdr:rowOff>
    </xdr:to>
    <xdr:sp macro="" textlink="">
      <xdr:nvSpPr>
        <xdr:cNvPr id="27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1010000}"/>
            </a:ext>
            <a:ext uri="{147F2762-F138-4A5C-976F-8EAC2B608ADB}">
              <a16:predDERef xmlns:a16="http://schemas.microsoft.com/office/drawing/2014/main" pred="{F14D93DA-878C-4FE0-B3C0-AAC03A7597BE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60</xdr:row>
      <xdr:rowOff>171450</xdr:rowOff>
    </xdr:from>
    <xdr:to>
      <xdr:col>3</xdr:col>
      <xdr:colOff>76200</xdr:colOff>
      <xdr:row>62</xdr:row>
      <xdr:rowOff>9525</xdr:rowOff>
    </xdr:to>
    <xdr:sp macro="" textlink="">
      <xdr:nvSpPr>
        <xdr:cNvPr id="27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12010000}"/>
            </a:ext>
            <a:ext uri="{147F2762-F138-4A5C-976F-8EAC2B608ADB}">
              <a16:predDERef xmlns:a16="http://schemas.microsoft.com/office/drawing/2014/main" pred="{D6658F8B-74CA-41E5-8BD4-43C04AA3604C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60</xdr:row>
      <xdr:rowOff>161925</xdr:rowOff>
    </xdr:from>
    <xdr:to>
      <xdr:col>3</xdr:col>
      <xdr:colOff>76200</xdr:colOff>
      <xdr:row>62</xdr:row>
      <xdr:rowOff>0</xdr:rowOff>
    </xdr:to>
    <xdr:sp macro="" textlink="">
      <xdr:nvSpPr>
        <xdr:cNvPr id="27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3010000}"/>
            </a:ext>
            <a:ext uri="{147F2762-F138-4A5C-976F-8EAC2B608ADB}">
              <a16:predDERef xmlns:a16="http://schemas.microsoft.com/office/drawing/2014/main" pred="{77B4EEFB-0FF8-4055-8E85-D2299659328C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60</xdr:row>
      <xdr:rowOff>161925</xdr:rowOff>
    </xdr:from>
    <xdr:to>
      <xdr:col>3</xdr:col>
      <xdr:colOff>85725</xdr:colOff>
      <xdr:row>62</xdr:row>
      <xdr:rowOff>0</xdr:rowOff>
    </xdr:to>
    <xdr:sp macro="" textlink="">
      <xdr:nvSpPr>
        <xdr:cNvPr id="27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14010000}"/>
            </a:ext>
            <a:ext uri="{147F2762-F138-4A5C-976F-8EAC2B608ADB}">
              <a16:predDERef xmlns:a16="http://schemas.microsoft.com/office/drawing/2014/main" pred="{8DBB5E78-6146-45FF-AFC3-92335122840E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61</xdr:row>
      <xdr:rowOff>161925</xdr:rowOff>
    </xdr:from>
    <xdr:to>
      <xdr:col>3</xdr:col>
      <xdr:colOff>76200</xdr:colOff>
      <xdr:row>63</xdr:row>
      <xdr:rowOff>0</xdr:rowOff>
    </xdr:to>
    <xdr:sp macro="" textlink="">
      <xdr:nvSpPr>
        <xdr:cNvPr id="27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5010000}"/>
            </a:ext>
            <a:ext uri="{147F2762-F138-4A5C-976F-8EAC2B608ADB}">
              <a16:predDERef xmlns:a16="http://schemas.microsoft.com/office/drawing/2014/main" pred="{2E457CB5-FB81-4604-8A29-CFAD2A70D465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61</xdr:row>
      <xdr:rowOff>171450</xdr:rowOff>
    </xdr:from>
    <xdr:to>
      <xdr:col>3</xdr:col>
      <xdr:colOff>76200</xdr:colOff>
      <xdr:row>63</xdr:row>
      <xdr:rowOff>9525</xdr:rowOff>
    </xdr:to>
    <xdr:sp macro="" textlink="">
      <xdr:nvSpPr>
        <xdr:cNvPr id="27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16010000}"/>
            </a:ext>
            <a:ext uri="{147F2762-F138-4A5C-976F-8EAC2B608ADB}">
              <a16:predDERef xmlns:a16="http://schemas.microsoft.com/office/drawing/2014/main" pred="{281B697A-3AA1-4A68-AA22-0BFB5B3FA82E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61</xdr:row>
      <xdr:rowOff>161925</xdr:rowOff>
    </xdr:from>
    <xdr:to>
      <xdr:col>3</xdr:col>
      <xdr:colOff>76200</xdr:colOff>
      <xdr:row>63</xdr:row>
      <xdr:rowOff>0</xdr:rowOff>
    </xdr:to>
    <xdr:sp macro="" textlink="">
      <xdr:nvSpPr>
        <xdr:cNvPr id="27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7010000}"/>
            </a:ext>
            <a:ext uri="{147F2762-F138-4A5C-976F-8EAC2B608ADB}">
              <a16:predDERef xmlns:a16="http://schemas.microsoft.com/office/drawing/2014/main" pred="{E34972F7-FBAD-4B38-8852-93A5762DA2B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61</xdr:row>
      <xdr:rowOff>161925</xdr:rowOff>
    </xdr:from>
    <xdr:to>
      <xdr:col>3</xdr:col>
      <xdr:colOff>85725</xdr:colOff>
      <xdr:row>63</xdr:row>
      <xdr:rowOff>0</xdr:rowOff>
    </xdr:to>
    <xdr:sp macro="" textlink="">
      <xdr:nvSpPr>
        <xdr:cNvPr id="28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18010000}"/>
            </a:ext>
            <a:ext uri="{147F2762-F138-4A5C-976F-8EAC2B608ADB}">
              <a16:predDERef xmlns:a16="http://schemas.microsoft.com/office/drawing/2014/main" pred="{FF3A10AB-6807-4359-886A-185B3E61B217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62</xdr:row>
      <xdr:rowOff>161925</xdr:rowOff>
    </xdr:from>
    <xdr:to>
      <xdr:col>3</xdr:col>
      <xdr:colOff>76200</xdr:colOff>
      <xdr:row>64</xdr:row>
      <xdr:rowOff>0</xdr:rowOff>
    </xdr:to>
    <xdr:sp macro="" textlink="">
      <xdr:nvSpPr>
        <xdr:cNvPr id="28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9010000}"/>
            </a:ext>
            <a:ext uri="{147F2762-F138-4A5C-976F-8EAC2B608ADB}">
              <a16:predDERef xmlns:a16="http://schemas.microsoft.com/office/drawing/2014/main" pred="{3FF5612B-C709-4984-AAA1-E4AA8BDF5B49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62</xdr:row>
      <xdr:rowOff>171450</xdr:rowOff>
    </xdr:from>
    <xdr:to>
      <xdr:col>3</xdr:col>
      <xdr:colOff>76200</xdr:colOff>
      <xdr:row>64</xdr:row>
      <xdr:rowOff>9525</xdr:rowOff>
    </xdr:to>
    <xdr:sp macro="" textlink="">
      <xdr:nvSpPr>
        <xdr:cNvPr id="28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1A010000}"/>
            </a:ext>
            <a:ext uri="{147F2762-F138-4A5C-976F-8EAC2B608ADB}">
              <a16:predDERef xmlns:a16="http://schemas.microsoft.com/office/drawing/2014/main" pred="{9B92A786-51C6-4795-B68B-06AE11F11A78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62</xdr:row>
      <xdr:rowOff>161925</xdr:rowOff>
    </xdr:from>
    <xdr:to>
      <xdr:col>3</xdr:col>
      <xdr:colOff>76200</xdr:colOff>
      <xdr:row>64</xdr:row>
      <xdr:rowOff>0</xdr:rowOff>
    </xdr:to>
    <xdr:sp macro="" textlink="">
      <xdr:nvSpPr>
        <xdr:cNvPr id="28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B010000}"/>
            </a:ext>
            <a:ext uri="{147F2762-F138-4A5C-976F-8EAC2B608ADB}">
              <a16:predDERef xmlns:a16="http://schemas.microsoft.com/office/drawing/2014/main" pred="{05B55FD6-D06C-44E3-869C-C5CFBF867683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62</xdr:row>
      <xdr:rowOff>161925</xdr:rowOff>
    </xdr:from>
    <xdr:to>
      <xdr:col>3</xdr:col>
      <xdr:colOff>85725</xdr:colOff>
      <xdr:row>64</xdr:row>
      <xdr:rowOff>0</xdr:rowOff>
    </xdr:to>
    <xdr:sp macro="" textlink="">
      <xdr:nvSpPr>
        <xdr:cNvPr id="28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1C010000}"/>
            </a:ext>
            <a:ext uri="{147F2762-F138-4A5C-976F-8EAC2B608ADB}">
              <a16:predDERef xmlns:a16="http://schemas.microsoft.com/office/drawing/2014/main" pred="{61FFB383-48B0-4B24-A203-A3EBC1D340E8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63</xdr:row>
      <xdr:rowOff>161925</xdr:rowOff>
    </xdr:from>
    <xdr:to>
      <xdr:col>3</xdr:col>
      <xdr:colOff>76200</xdr:colOff>
      <xdr:row>65</xdr:row>
      <xdr:rowOff>0</xdr:rowOff>
    </xdr:to>
    <xdr:sp macro="" textlink="">
      <xdr:nvSpPr>
        <xdr:cNvPr id="28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D010000}"/>
            </a:ext>
            <a:ext uri="{147F2762-F138-4A5C-976F-8EAC2B608ADB}">
              <a16:predDERef xmlns:a16="http://schemas.microsoft.com/office/drawing/2014/main" pred="{FF683F3A-53F6-4F08-B750-11E942015DA7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63</xdr:row>
      <xdr:rowOff>171450</xdr:rowOff>
    </xdr:from>
    <xdr:to>
      <xdr:col>3</xdr:col>
      <xdr:colOff>76200</xdr:colOff>
      <xdr:row>65</xdr:row>
      <xdr:rowOff>9525</xdr:rowOff>
    </xdr:to>
    <xdr:sp macro="" textlink="">
      <xdr:nvSpPr>
        <xdr:cNvPr id="28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1E010000}"/>
            </a:ext>
            <a:ext uri="{147F2762-F138-4A5C-976F-8EAC2B608ADB}">
              <a16:predDERef xmlns:a16="http://schemas.microsoft.com/office/drawing/2014/main" pred="{E745A56A-70AC-4220-AA50-DE110AF73AD0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63</xdr:row>
      <xdr:rowOff>161925</xdr:rowOff>
    </xdr:from>
    <xdr:to>
      <xdr:col>3</xdr:col>
      <xdr:colOff>76200</xdr:colOff>
      <xdr:row>65</xdr:row>
      <xdr:rowOff>0</xdr:rowOff>
    </xdr:to>
    <xdr:sp macro="" textlink="">
      <xdr:nvSpPr>
        <xdr:cNvPr id="28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1F010000}"/>
            </a:ext>
            <a:ext uri="{147F2762-F138-4A5C-976F-8EAC2B608ADB}">
              <a16:predDERef xmlns:a16="http://schemas.microsoft.com/office/drawing/2014/main" pred="{67DF2068-D05C-4559-A322-A2D906CE64C2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63</xdr:row>
      <xdr:rowOff>161925</xdr:rowOff>
    </xdr:from>
    <xdr:to>
      <xdr:col>3</xdr:col>
      <xdr:colOff>85725</xdr:colOff>
      <xdr:row>65</xdr:row>
      <xdr:rowOff>0</xdr:rowOff>
    </xdr:to>
    <xdr:sp macro="" textlink="">
      <xdr:nvSpPr>
        <xdr:cNvPr id="28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20010000}"/>
            </a:ext>
            <a:ext uri="{147F2762-F138-4A5C-976F-8EAC2B608ADB}">
              <a16:predDERef xmlns:a16="http://schemas.microsoft.com/office/drawing/2014/main" pred="{B3ACA8A6-0C90-4C79-84CA-6667FFC2FB6C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64</xdr:row>
      <xdr:rowOff>161925</xdr:rowOff>
    </xdr:from>
    <xdr:to>
      <xdr:col>3</xdr:col>
      <xdr:colOff>76200</xdr:colOff>
      <xdr:row>66</xdr:row>
      <xdr:rowOff>0</xdr:rowOff>
    </xdr:to>
    <xdr:sp macro="" textlink="">
      <xdr:nvSpPr>
        <xdr:cNvPr id="28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1010000}"/>
            </a:ext>
            <a:ext uri="{147F2762-F138-4A5C-976F-8EAC2B608ADB}">
              <a16:predDERef xmlns:a16="http://schemas.microsoft.com/office/drawing/2014/main" pred="{DAFE05B2-776B-49AD-B7E0-2B6A7FDBCC56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64</xdr:row>
      <xdr:rowOff>171450</xdr:rowOff>
    </xdr:from>
    <xdr:to>
      <xdr:col>3</xdr:col>
      <xdr:colOff>76200</xdr:colOff>
      <xdr:row>66</xdr:row>
      <xdr:rowOff>9525</xdr:rowOff>
    </xdr:to>
    <xdr:sp macro="" textlink="">
      <xdr:nvSpPr>
        <xdr:cNvPr id="29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22010000}"/>
            </a:ext>
            <a:ext uri="{147F2762-F138-4A5C-976F-8EAC2B608ADB}">
              <a16:predDERef xmlns:a16="http://schemas.microsoft.com/office/drawing/2014/main" pred="{DC1957AA-F6B5-480C-A1C4-C51DD96719F8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64</xdr:row>
      <xdr:rowOff>161925</xdr:rowOff>
    </xdr:from>
    <xdr:to>
      <xdr:col>3</xdr:col>
      <xdr:colOff>76200</xdr:colOff>
      <xdr:row>66</xdr:row>
      <xdr:rowOff>0</xdr:rowOff>
    </xdr:to>
    <xdr:sp macro="" textlink="">
      <xdr:nvSpPr>
        <xdr:cNvPr id="29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3010000}"/>
            </a:ext>
            <a:ext uri="{147F2762-F138-4A5C-976F-8EAC2B608ADB}">
              <a16:predDERef xmlns:a16="http://schemas.microsoft.com/office/drawing/2014/main" pred="{029E38CF-3910-41C7-A3C3-1B39221ACB68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64</xdr:row>
      <xdr:rowOff>161925</xdr:rowOff>
    </xdr:from>
    <xdr:to>
      <xdr:col>3</xdr:col>
      <xdr:colOff>85725</xdr:colOff>
      <xdr:row>66</xdr:row>
      <xdr:rowOff>0</xdr:rowOff>
    </xdr:to>
    <xdr:sp macro="" textlink="">
      <xdr:nvSpPr>
        <xdr:cNvPr id="29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24010000}"/>
            </a:ext>
            <a:ext uri="{147F2762-F138-4A5C-976F-8EAC2B608ADB}">
              <a16:predDERef xmlns:a16="http://schemas.microsoft.com/office/drawing/2014/main" pred="{1A0C5A56-890E-46B6-AEF5-1A255F99CF10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65</xdr:row>
      <xdr:rowOff>161925</xdr:rowOff>
    </xdr:from>
    <xdr:to>
      <xdr:col>3</xdr:col>
      <xdr:colOff>76200</xdr:colOff>
      <xdr:row>67</xdr:row>
      <xdr:rowOff>0</xdr:rowOff>
    </xdr:to>
    <xdr:sp macro="" textlink="">
      <xdr:nvSpPr>
        <xdr:cNvPr id="29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5010000}"/>
            </a:ext>
            <a:ext uri="{147F2762-F138-4A5C-976F-8EAC2B608ADB}">
              <a16:predDERef xmlns:a16="http://schemas.microsoft.com/office/drawing/2014/main" pred="{29F507A6-7076-4B54-AAC0-5EEC70158EF5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65</xdr:row>
      <xdr:rowOff>171450</xdr:rowOff>
    </xdr:from>
    <xdr:to>
      <xdr:col>3</xdr:col>
      <xdr:colOff>76200</xdr:colOff>
      <xdr:row>67</xdr:row>
      <xdr:rowOff>9525</xdr:rowOff>
    </xdr:to>
    <xdr:sp macro="" textlink="">
      <xdr:nvSpPr>
        <xdr:cNvPr id="29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26010000}"/>
            </a:ext>
            <a:ext uri="{147F2762-F138-4A5C-976F-8EAC2B608ADB}">
              <a16:predDERef xmlns:a16="http://schemas.microsoft.com/office/drawing/2014/main" pred="{1AD7F5ED-D563-4AB1-B6CD-A9800E79157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65</xdr:row>
      <xdr:rowOff>161925</xdr:rowOff>
    </xdr:from>
    <xdr:to>
      <xdr:col>3</xdr:col>
      <xdr:colOff>76200</xdr:colOff>
      <xdr:row>67</xdr:row>
      <xdr:rowOff>0</xdr:rowOff>
    </xdr:to>
    <xdr:sp macro="" textlink="">
      <xdr:nvSpPr>
        <xdr:cNvPr id="29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7010000}"/>
            </a:ext>
            <a:ext uri="{147F2762-F138-4A5C-976F-8EAC2B608ADB}">
              <a16:predDERef xmlns:a16="http://schemas.microsoft.com/office/drawing/2014/main" pred="{E16A0441-70CA-420E-9744-9F94FDE7307D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65</xdr:row>
      <xdr:rowOff>161925</xdr:rowOff>
    </xdr:from>
    <xdr:to>
      <xdr:col>3</xdr:col>
      <xdr:colOff>85725</xdr:colOff>
      <xdr:row>67</xdr:row>
      <xdr:rowOff>0</xdr:rowOff>
    </xdr:to>
    <xdr:sp macro="" textlink="">
      <xdr:nvSpPr>
        <xdr:cNvPr id="29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28010000}"/>
            </a:ext>
            <a:ext uri="{147F2762-F138-4A5C-976F-8EAC2B608ADB}">
              <a16:predDERef xmlns:a16="http://schemas.microsoft.com/office/drawing/2014/main" pred="{BF27A344-4C60-4A83-8A96-3E43CA5FA8BF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66</xdr:row>
      <xdr:rowOff>161925</xdr:rowOff>
    </xdr:from>
    <xdr:to>
      <xdr:col>3</xdr:col>
      <xdr:colOff>76200</xdr:colOff>
      <xdr:row>68</xdr:row>
      <xdr:rowOff>0</xdr:rowOff>
    </xdr:to>
    <xdr:sp macro="" textlink="">
      <xdr:nvSpPr>
        <xdr:cNvPr id="29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9010000}"/>
            </a:ext>
            <a:ext uri="{147F2762-F138-4A5C-976F-8EAC2B608ADB}">
              <a16:predDERef xmlns:a16="http://schemas.microsoft.com/office/drawing/2014/main" pred="{B29702C6-F99C-48A4-8820-7469A72E87A3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66</xdr:row>
      <xdr:rowOff>171450</xdr:rowOff>
    </xdr:from>
    <xdr:to>
      <xdr:col>3</xdr:col>
      <xdr:colOff>76200</xdr:colOff>
      <xdr:row>68</xdr:row>
      <xdr:rowOff>9525</xdr:rowOff>
    </xdr:to>
    <xdr:sp macro="" textlink="">
      <xdr:nvSpPr>
        <xdr:cNvPr id="29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2A010000}"/>
            </a:ext>
            <a:ext uri="{147F2762-F138-4A5C-976F-8EAC2B608ADB}">
              <a16:predDERef xmlns:a16="http://schemas.microsoft.com/office/drawing/2014/main" pred="{46B31835-B2B0-4008-9F4C-B9411759B924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66</xdr:row>
      <xdr:rowOff>161925</xdr:rowOff>
    </xdr:from>
    <xdr:to>
      <xdr:col>3</xdr:col>
      <xdr:colOff>76200</xdr:colOff>
      <xdr:row>68</xdr:row>
      <xdr:rowOff>0</xdr:rowOff>
    </xdr:to>
    <xdr:sp macro="" textlink="">
      <xdr:nvSpPr>
        <xdr:cNvPr id="29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B010000}"/>
            </a:ext>
            <a:ext uri="{147F2762-F138-4A5C-976F-8EAC2B608ADB}">
              <a16:predDERef xmlns:a16="http://schemas.microsoft.com/office/drawing/2014/main" pred="{C84F8C84-F152-4BB1-AAF1-468BEB4551C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66</xdr:row>
      <xdr:rowOff>161925</xdr:rowOff>
    </xdr:from>
    <xdr:to>
      <xdr:col>3</xdr:col>
      <xdr:colOff>85725</xdr:colOff>
      <xdr:row>68</xdr:row>
      <xdr:rowOff>0</xdr:rowOff>
    </xdr:to>
    <xdr:sp macro="" textlink="">
      <xdr:nvSpPr>
        <xdr:cNvPr id="30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2C010000}"/>
            </a:ext>
            <a:ext uri="{147F2762-F138-4A5C-976F-8EAC2B608ADB}">
              <a16:predDERef xmlns:a16="http://schemas.microsoft.com/office/drawing/2014/main" pred="{1E8D4CCA-A56B-4715-93F6-82C29A39438F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67</xdr:row>
      <xdr:rowOff>161925</xdr:rowOff>
    </xdr:from>
    <xdr:to>
      <xdr:col>3</xdr:col>
      <xdr:colOff>76200</xdr:colOff>
      <xdr:row>69</xdr:row>
      <xdr:rowOff>0</xdr:rowOff>
    </xdr:to>
    <xdr:sp macro="" textlink="">
      <xdr:nvSpPr>
        <xdr:cNvPr id="30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D010000}"/>
            </a:ext>
            <a:ext uri="{147F2762-F138-4A5C-976F-8EAC2B608ADB}">
              <a16:predDERef xmlns:a16="http://schemas.microsoft.com/office/drawing/2014/main" pred="{9110F86E-43EF-4029-97A4-3C2731C082AD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67</xdr:row>
      <xdr:rowOff>171450</xdr:rowOff>
    </xdr:from>
    <xdr:to>
      <xdr:col>3</xdr:col>
      <xdr:colOff>76200</xdr:colOff>
      <xdr:row>69</xdr:row>
      <xdr:rowOff>9525</xdr:rowOff>
    </xdr:to>
    <xdr:sp macro="" textlink="">
      <xdr:nvSpPr>
        <xdr:cNvPr id="30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2E010000}"/>
            </a:ext>
            <a:ext uri="{147F2762-F138-4A5C-976F-8EAC2B608ADB}">
              <a16:predDERef xmlns:a16="http://schemas.microsoft.com/office/drawing/2014/main" pred="{C456F82E-8330-451F-80C9-D75A76107F56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67</xdr:row>
      <xdr:rowOff>161925</xdr:rowOff>
    </xdr:from>
    <xdr:to>
      <xdr:col>3</xdr:col>
      <xdr:colOff>76200</xdr:colOff>
      <xdr:row>69</xdr:row>
      <xdr:rowOff>0</xdr:rowOff>
    </xdr:to>
    <xdr:sp macro="" textlink="">
      <xdr:nvSpPr>
        <xdr:cNvPr id="30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2F010000}"/>
            </a:ext>
            <a:ext uri="{147F2762-F138-4A5C-976F-8EAC2B608ADB}">
              <a16:predDERef xmlns:a16="http://schemas.microsoft.com/office/drawing/2014/main" pred="{7F20580A-0425-4360-8B39-982315FFA44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67</xdr:row>
      <xdr:rowOff>161925</xdr:rowOff>
    </xdr:from>
    <xdr:to>
      <xdr:col>3</xdr:col>
      <xdr:colOff>85725</xdr:colOff>
      <xdr:row>69</xdr:row>
      <xdr:rowOff>0</xdr:rowOff>
    </xdr:to>
    <xdr:sp macro="" textlink="">
      <xdr:nvSpPr>
        <xdr:cNvPr id="30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30010000}"/>
            </a:ext>
            <a:ext uri="{147F2762-F138-4A5C-976F-8EAC2B608ADB}">
              <a16:predDERef xmlns:a16="http://schemas.microsoft.com/office/drawing/2014/main" pred="{F473D35B-D5B2-461A-8614-86C7A41B931C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68</xdr:row>
      <xdr:rowOff>161925</xdr:rowOff>
    </xdr:from>
    <xdr:to>
      <xdr:col>3</xdr:col>
      <xdr:colOff>76200</xdr:colOff>
      <xdr:row>70</xdr:row>
      <xdr:rowOff>0</xdr:rowOff>
    </xdr:to>
    <xdr:sp macro="" textlink="">
      <xdr:nvSpPr>
        <xdr:cNvPr id="30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1010000}"/>
            </a:ext>
            <a:ext uri="{147F2762-F138-4A5C-976F-8EAC2B608ADB}">
              <a16:predDERef xmlns:a16="http://schemas.microsoft.com/office/drawing/2014/main" pred="{81C649ED-6AB0-4414-921B-F2D583FA2DE1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68</xdr:row>
      <xdr:rowOff>171450</xdr:rowOff>
    </xdr:from>
    <xdr:to>
      <xdr:col>3</xdr:col>
      <xdr:colOff>76200</xdr:colOff>
      <xdr:row>70</xdr:row>
      <xdr:rowOff>9525</xdr:rowOff>
    </xdr:to>
    <xdr:sp macro="" textlink="">
      <xdr:nvSpPr>
        <xdr:cNvPr id="30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32010000}"/>
            </a:ext>
            <a:ext uri="{147F2762-F138-4A5C-976F-8EAC2B608ADB}">
              <a16:predDERef xmlns:a16="http://schemas.microsoft.com/office/drawing/2014/main" pred="{C52F9B99-DFA2-43A8-B9BB-2E3123F3E2C2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68</xdr:row>
      <xdr:rowOff>161925</xdr:rowOff>
    </xdr:from>
    <xdr:to>
      <xdr:col>3</xdr:col>
      <xdr:colOff>76200</xdr:colOff>
      <xdr:row>70</xdr:row>
      <xdr:rowOff>0</xdr:rowOff>
    </xdr:to>
    <xdr:sp macro="" textlink="">
      <xdr:nvSpPr>
        <xdr:cNvPr id="30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3010000}"/>
            </a:ext>
            <a:ext uri="{147F2762-F138-4A5C-976F-8EAC2B608ADB}">
              <a16:predDERef xmlns:a16="http://schemas.microsoft.com/office/drawing/2014/main" pred="{641B022B-F5A1-427B-B42A-6B97782134A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68</xdr:row>
      <xdr:rowOff>161925</xdr:rowOff>
    </xdr:from>
    <xdr:to>
      <xdr:col>3</xdr:col>
      <xdr:colOff>85725</xdr:colOff>
      <xdr:row>70</xdr:row>
      <xdr:rowOff>0</xdr:rowOff>
    </xdr:to>
    <xdr:sp macro="" textlink="">
      <xdr:nvSpPr>
        <xdr:cNvPr id="30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34010000}"/>
            </a:ext>
            <a:ext uri="{147F2762-F138-4A5C-976F-8EAC2B608ADB}">
              <a16:predDERef xmlns:a16="http://schemas.microsoft.com/office/drawing/2014/main" pred="{D1633D44-20B7-47E5-B2E2-246622DDA71B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69</xdr:row>
      <xdr:rowOff>161925</xdr:rowOff>
    </xdr:from>
    <xdr:to>
      <xdr:col>3</xdr:col>
      <xdr:colOff>76200</xdr:colOff>
      <xdr:row>71</xdr:row>
      <xdr:rowOff>0</xdr:rowOff>
    </xdr:to>
    <xdr:sp macro="" textlink="">
      <xdr:nvSpPr>
        <xdr:cNvPr id="30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5010000}"/>
            </a:ext>
            <a:ext uri="{147F2762-F138-4A5C-976F-8EAC2B608ADB}">
              <a16:predDERef xmlns:a16="http://schemas.microsoft.com/office/drawing/2014/main" pred="{5D324C9B-778E-4657-A4D2-48926A3199B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69</xdr:row>
      <xdr:rowOff>171450</xdr:rowOff>
    </xdr:from>
    <xdr:to>
      <xdr:col>3</xdr:col>
      <xdr:colOff>76200</xdr:colOff>
      <xdr:row>71</xdr:row>
      <xdr:rowOff>9525</xdr:rowOff>
    </xdr:to>
    <xdr:sp macro="" textlink="">
      <xdr:nvSpPr>
        <xdr:cNvPr id="31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36010000}"/>
            </a:ext>
            <a:ext uri="{147F2762-F138-4A5C-976F-8EAC2B608ADB}">
              <a16:predDERef xmlns:a16="http://schemas.microsoft.com/office/drawing/2014/main" pred="{FE706C2C-E566-4DBA-A88F-928EF07DD57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69</xdr:row>
      <xdr:rowOff>161925</xdr:rowOff>
    </xdr:from>
    <xdr:to>
      <xdr:col>3</xdr:col>
      <xdr:colOff>76200</xdr:colOff>
      <xdr:row>71</xdr:row>
      <xdr:rowOff>0</xdr:rowOff>
    </xdr:to>
    <xdr:sp macro="" textlink="">
      <xdr:nvSpPr>
        <xdr:cNvPr id="31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7010000}"/>
            </a:ext>
            <a:ext uri="{147F2762-F138-4A5C-976F-8EAC2B608ADB}">
              <a16:predDERef xmlns:a16="http://schemas.microsoft.com/office/drawing/2014/main" pred="{D660B55E-B5F0-4545-A219-DB2EE5219310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69</xdr:row>
      <xdr:rowOff>161925</xdr:rowOff>
    </xdr:from>
    <xdr:to>
      <xdr:col>3</xdr:col>
      <xdr:colOff>85725</xdr:colOff>
      <xdr:row>71</xdr:row>
      <xdr:rowOff>0</xdr:rowOff>
    </xdr:to>
    <xdr:sp macro="" textlink="">
      <xdr:nvSpPr>
        <xdr:cNvPr id="31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38010000}"/>
            </a:ext>
            <a:ext uri="{147F2762-F138-4A5C-976F-8EAC2B608ADB}">
              <a16:predDERef xmlns:a16="http://schemas.microsoft.com/office/drawing/2014/main" pred="{50809337-3559-4416-85D4-E97933182DE4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70</xdr:row>
      <xdr:rowOff>161925</xdr:rowOff>
    </xdr:from>
    <xdr:to>
      <xdr:col>3</xdr:col>
      <xdr:colOff>76200</xdr:colOff>
      <xdr:row>72</xdr:row>
      <xdr:rowOff>0</xdr:rowOff>
    </xdr:to>
    <xdr:sp macro="" textlink="">
      <xdr:nvSpPr>
        <xdr:cNvPr id="31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9010000}"/>
            </a:ext>
            <a:ext uri="{147F2762-F138-4A5C-976F-8EAC2B608ADB}">
              <a16:predDERef xmlns:a16="http://schemas.microsoft.com/office/drawing/2014/main" pred="{57B169C4-E579-4629-8643-93190687BFA3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70</xdr:row>
      <xdr:rowOff>171450</xdr:rowOff>
    </xdr:from>
    <xdr:to>
      <xdr:col>3</xdr:col>
      <xdr:colOff>76200</xdr:colOff>
      <xdr:row>72</xdr:row>
      <xdr:rowOff>9525</xdr:rowOff>
    </xdr:to>
    <xdr:sp macro="" textlink="">
      <xdr:nvSpPr>
        <xdr:cNvPr id="31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3A010000}"/>
            </a:ext>
            <a:ext uri="{147F2762-F138-4A5C-976F-8EAC2B608ADB}">
              <a16:predDERef xmlns:a16="http://schemas.microsoft.com/office/drawing/2014/main" pred="{9F52F104-2C7B-4F8A-87E2-AA117FF7128B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70</xdr:row>
      <xdr:rowOff>161925</xdr:rowOff>
    </xdr:from>
    <xdr:to>
      <xdr:col>3</xdr:col>
      <xdr:colOff>76200</xdr:colOff>
      <xdr:row>72</xdr:row>
      <xdr:rowOff>0</xdr:rowOff>
    </xdr:to>
    <xdr:sp macro="" textlink="">
      <xdr:nvSpPr>
        <xdr:cNvPr id="31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B010000}"/>
            </a:ext>
            <a:ext uri="{147F2762-F138-4A5C-976F-8EAC2B608ADB}">
              <a16:predDERef xmlns:a16="http://schemas.microsoft.com/office/drawing/2014/main" pred="{06089A1E-2170-4C25-848B-FE927A8B1F8B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70</xdr:row>
      <xdr:rowOff>161925</xdr:rowOff>
    </xdr:from>
    <xdr:to>
      <xdr:col>3</xdr:col>
      <xdr:colOff>85725</xdr:colOff>
      <xdr:row>72</xdr:row>
      <xdr:rowOff>0</xdr:rowOff>
    </xdr:to>
    <xdr:sp macro="" textlink="">
      <xdr:nvSpPr>
        <xdr:cNvPr id="31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3C010000}"/>
            </a:ext>
            <a:ext uri="{147F2762-F138-4A5C-976F-8EAC2B608ADB}">
              <a16:predDERef xmlns:a16="http://schemas.microsoft.com/office/drawing/2014/main" pred="{8AA1C838-69E7-468F-8DD3-296DD5E8566D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71</xdr:row>
      <xdr:rowOff>161925</xdr:rowOff>
    </xdr:from>
    <xdr:to>
      <xdr:col>3</xdr:col>
      <xdr:colOff>76200</xdr:colOff>
      <xdr:row>73</xdr:row>
      <xdr:rowOff>0</xdr:rowOff>
    </xdr:to>
    <xdr:sp macro="" textlink="">
      <xdr:nvSpPr>
        <xdr:cNvPr id="31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D010000}"/>
            </a:ext>
            <a:ext uri="{147F2762-F138-4A5C-976F-8EAC2B608ADB}">
              <a16:predDERef xmlns:a16="http://schemas.microsoft.com/office/drawing/2014/main" pred="{AEFF6661-0898-423F-BB5E-332566EFC219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71</xdr:row>
      <xdr:rowOff>171450</xdr:rowOff>
    </xdr:from>
    <xdr:to>
      <xdr:col>3</xdr:col>
      <xdr:colOff>76200</xdr:colOff>
      <xdr:row>73</xdr:row>
      <xdr:rowOff>9525</xdr:rowOff>
    </xdr:to>
    <xdr:sp macro="" textlink="">
      <xdr:nvSpPr>
        <xdr:cNvPr id="31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3E010000}"/>
            </a:ext>
            <a:ext uri="{147F2762-F138-4A5C-976F-8EAC2B608ADB}">
              <a16:predDERef xmlns:a16="http://schemas.microsoft.com/office/drawing/2014/main" pred="{202E6299-7E7B-4DF8-B5C8-545F9F988817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71</xdr:row>
      <xdr:rowOff>161925</xdr:rowOff>
    </xdr:from>
    <xdr:to>
      <xdr:col>3</xdr:col>
      <xdr:colOff>76200</xdr:colOff>
      <xdr:row>73</xdr:row>
      <xdr:rowOff>0</xdr:rowOff>
    </xdr:to>
    <xdr:sp macro="" textlink="">
      <xdr:nvSpPr>
        <xdr:cNvPr id="31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3F010000}"/>
            </a:ext>
            <a:ext uri="{147F2762-F138-4A5C-976F-8EAC2B608ADB}">
              <a16:predDERef xmlns:a16="http://schemas.microsoft.com/office/drawing/2014/main" pred="{D5BCE57F-CBCA-4A00-976E-D8CD69415DA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71</xdr:row>
      <xdr:rowOff>161925</xdr:rowOff>
    </xdr:from>
    <xdr:to>
      <xdr:col>3</xdr:col>
      <xdr:colOff>85725</xdr:colOff>
      <xdr:row>73</xdr:row>
      <xdr:rowOff>0</xdr:rowOff>
    </xdr:to>
    <xdr:sp macro="" textlink="">
      <xdr:nvSpPr>
        <xdr:cNvPr id="32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40010000}"/>
            </a:ext>
            <a:ext uri="{147F2762-F138-4A5C-976F-8EAC2B608ADB}">
              <a16:predDERef xmlns:a16="http://schemas.microsoft.com/office/drawing/2014/main" pred="{A3265719-9C1C-4FA9-901F-D8EDC9C9B5D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72</xdr:row>
      <xdr:rowOff>161925</xdr:rowOff>
    </xdr:from>
    <xdr:to>
      <xdr:col>3</xdr:col>
      <xdr:colOff>76200</xdr:colOff>
      <xdr:row>74</xdr:row>
      <xdr:rowOff>0</xdr:rowOff>
    </xdr:to>
    <xdr:sp macro="" textlink="">
      <xdr:nvSpPr>
        <xdr:cNvPr id="32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1010000}"/>
            </a:ext>
            <a:ext uri="{147F2762-F138-4A5C-976F-8EAC2B608ADB}">
              <a16:predDERef xmlns:a16="http://schemas.microsoft.com/office/drawing/2014/main" pred="{057CE950-8F9D-4E8C-A58F-FB08E01923F9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72</xdr:row>
      <xdr:rowOff>171450</xdr:rowOff>
    </xdr:from>
    <xdr:to>
      <xdr:col>3</xdr:col>
      <xdr:colOff>76200</xdr:colOff>
      <xdr:row>74</xdr:row>
      <xdr:rowOff>9525</xdr:rowOff>
    </xdr:to>
    <xdr:sp macro="" textlink="">
      <xdr:nvSpPr>
        <xdr:cNvPr id="32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42010000}"/>
            </a:ext>
            <a:ext uri="{147F2762-F138-4A5C-976F-8EAC2B608ADB}">
              <a16:predDERef xmlns:a16="http://schemas.microsoft.com/office/drawing/2014/main" pred="{F0D64BF8-0CE3-4A54-88BE-9194A56DA349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72</xdr:row>
      <xdr:rowOff>161925</xdr:rowOff>
    </xdr:from>
    <xdr:to>
      <xdr:col>3</xdr:col>
      <xdr:colOff>76200</xdr:colOff>
      <xdr:row>74</xdr:row>
      <xdr:rowOff>0</xdr:rowOff>
    </xdr:to>
    <xdr:sp macro="" textlink="">
      <xdr:nvSpPr>
        <xdr:cNvPr id="32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3010000}"/>
            </a:ext>
            <a:ext uri="{147F2762-F138-4A5C-976F-8EAC2B608ADB}">
              <a16:predDERef xmlns:a16="http://schemas.microsoft.com/office/drawing/2014/main" pred="{261B81FD-A53A-4807-8FA2-F1DCAD881C3F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72</xdr:row>
      <xdr:rowOff>161925</xdr:rowOff>
    </xdr:from>
    <xdr:to>
      <xdr:col>3</xdr:col>
      <xdr:colOff>85725</xdr:colOff>
      <xdr:row>74</xdr:row>
      <xdr:rowOff>0</xdr:rowOff>
    </xdr:to>
    <xdr:sp macro="" textlink="">
      <xdr:nvSpPr>
        <xdr:cNvPr id="32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44010000}"/>
            </a:ext>
            <a:ext uri="{147F2762-F138-4A5C-976F-8EAC2B608ADB}">
              <a16:predDERef xmlns:a16="http://schemas.microsoft.com/office/drawing/2014/main" pred="{0A8980EE-CA0D-41A3-A774-27A33AAA7981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73</xdr:row>
      <xdr:rowOff>161925</xdr:rowOff>
    </xdr:from>
    <xdr:to>
      <xdr:col>3</xdr:col>
      <xdr:colOff>76200</xdr:colOff>
      <xdr:row>75</xdr:row>
      <xdr:rowOff>0</xdr:rowOff>
    </xdr:to>
    <xdr:sp macro="" textlink="">
      <xdr:nvSpPr>
        <xdr:cNvPr id="32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5010000}"/>
            </a:ext>
            <a:ext uri="{147F2762-F138-4A5C-976F-8EAC2B608ADB}">
              <a16:predDERef xmlns:a16="http://schemas.microsoft.com/office/drawing/2014/main" pred="{678D3F75-10AA-4FED-B41E-848B2EE486E3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73</xdr:row>
      <xdr:rowOff>171450</xdr:rowOff>
    </xdr:from>
    <xdr:to>
      <xdr:col>3</xdr:col>
      <xdr:colOff>76200</xdr:colOff>
      <xdr:row>75</xdr:row>
      <xdr:rowOff>9525</xdr:rowOff>
    </xdr:to>
    <xdr:sp macro="" textlink="">
      <xdr:nvSpPr>
        <xdr:cNvPr id="32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46010000}"/>
            </a:ext>
            <a:ext uri="{147F2762-F138-4A5C-976F-8EAC2B608ADB}">
              <a16:predDERef xmlns:a16="http://schemas.microsoft.com/office/drawing/2014/main" pred="{874465D9-7C98-4175-A8F6-02A478B425AC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73</xdr:row>
      <xdr:rowOff>161925</xdr:rowOff>
    </xdr:from>
    <xdr:to>
      <xdr:col>3</xdr:col>
      <xdr:colOff>76200</xdr:colOff>
      <xdr:row>75</xdr:row>
      <xdr:rowOff>0</xdr:rowOff>
    </xdr:to>
    <xdr:sp macro="" textlink="">
      <xdr:nvSpPr>
        <xdr:cNvPr id="32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7010000}"/>
            </a:ext>
            <a:ext uri="{147F2762-F138-4A5C-976F-8EAC2B608ADB}">
              <a16:predDERef xmlns:a16="http://schemas.microsoft.com/office/drawing/2014/main" pred="{919CF643-63CD-4315-AC35-C882ADFF58B4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73</xdr:row>
      <xdr:rowOff>161925</xdr:rowOff>
    </xdr:from>
    <xdr:to>
      <xdr:col>3</xdr:col>
      <xdr:colOff>85725</xdr:colOff>
      <xdr:row>75</xdr:row>
      <xdr:rowOff>0</xdr:rowOff>
    </xdr:to>
    <xdr:sp macro="" textlink="">
      <xdr:nvSpPr>
        <xdr:cNvPr id="32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48010000}"/>
            </a:ext>
            <a:ext uri="{147F2762-F138-4A5C-976F-8EAC2B608ADB}">
              <a16:predDERef xmlns:a16="http://schemas.microsoft.com/office/drawing/2014/main" pred="{DAA9F642-8515-45C0-8E40-6E404AF8EDD1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74</xdr:row>
      <xdr:rowOff>161925</xdr:rowOff>
    </xdr:from>
    <xdr:to>
      <xdr:col>3</xdr:col>
      <xdr:colOff>76200</xdr:colOff>
      <xdr:row>76</xdr:row>
      <xdr:rowOff>0</xdr:rowOff>
    </xdr:to>
    <xdr:sp macro="" textlink="">
      <xdr:nvSpPr>
        <xdr:cNvPr id="32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9010000}"/>
            </a:ext>
            <a:ext uri="{147F2762-F138-4A5C-976F-8EAC2B608ADB}">
              <a16:predDERef xmlns:a16="http://schemas.microsoft.com/office/drawing/2014/main" pred="{2B1AE19B-056E-4B1C-BE91-15743D88D689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74</xdr:row>
      <xdr:rowOff>171450</xdr:rowOff>
    </xdr:from>
    <xdr:to>
      <xdr:col>3</xdr:col>
      <xdr:colOff>76200</xdr:colOff>
      <xdr:row>76</xdr:row>
      <xdr:rowOff>9525</xdr:rowOff>
    </xdr:to>
    <xdr:sp macro="" textlink="">
      <xdr:nvSpPr>
        <xdr:cNvPr id="33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4A010000}"/>
            </a:ext>
            <a:ext uri="{147F2762-F138-4A5C-976F-8EAC2B608ADB}">
              <a16:predDERef xmlns:a16="http://schemas.microsoft.com/office/drawing/2014/main" pred="{D8064F40-6CD5-477F-ABA4-966327205301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74</xdr:row>
      <xdr:rowOff>161925</xdr:rowOff>
    </xdr:from>
    <xdr:to>
      <xdr:col>3</xdr:col>
      <xdr:colOff>76200</xdr:colOff>
      <xdr:row>76</xdr:row>
      <xdr:rowOff>0</xdr:rowOff>
    </xdr:to>
    <xdr:sp macro="" textlink="">
      <xdr:nvSpPr>
        <xdr:cNvPr id="33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B010000}"/>
            </a:ext>
            <a:ext uri="{147F2762-F138-4A5C-976F-8EAC2B608ADB}">
              <a16:predDERef xmlns:a16="http://schemas.microsoft.com/office/drawing/2014/main" pred="{737EAECA-1749-40F0-9150-D9D148B25B9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74</xdr:row>
      <xdr:rowOff>161925</xdr:rowOff>
    </xdr:from>
    <xdr:to>
      <xdr:col>3</xdr:col>
      <xdr:colOff>85725</xdr:colOff>
      <xdr:row>76</xdr:row>
      <xdr:rowOff>0</xdr:rowOff>
    </xdr:to>
    <xdr:sp macro="" textlink="">
      <xdr:nvSpPr>
        <xdr:cNvPr id="33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4C010000}"/>
            </a:ext>
            <a:ext uri="{147F2762-F138-4A5C-976F-8EAC2B608ADB}">
              <a16:predDERef xmlns:a16="http://schemas.microsoft.com/office/drawing/2014/main" pred="{F9A50DFA-3A72-4200-A8B4-4F4840A85A7F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75</xdr:row>
      <xdr:rowOff>161925</xdr:rowOff>
    </xdr:from>
    <xdr:to>
      <xdr:col>3</xdr:col>
      <xdr:colOff>76200</xdr:colOff>
      <xdr:row>77</xdr:row>
      <xdr:rowOff>0</xdr:rowOff>
    </xdr:to>
    <xdr:sp macro="" textlink="">
      <xdr:nvSpPr>
        <xdr:cNvPr id="33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D010000}"/>
            </a:ext>
            <a:ext uri="{147F2762-F138-4A5C-976F-8EAC2B608ADB}">
              <a16:predDERef xmlns:a16="http://schemas.microsoft.com/office/drawing/2014/main" pred="{D257D075-FED4-4D80-885E-FFD277C63DA5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75</xdr:row>
      <xdr:rowOff>171450</xdr:rowOff>
    </xdr:from>
    <xdr:to>
      <xdr:col>3</xdr:col>
      <xdr:colOff>76200</xdr:colOff>
      <xdr:row>77</xdr:row>
      <xdr:rowOff>9525</xdr:rowOff>
    </xdr:to>
    <xdr:sp macro="" textlink="">
      <xdr:nvSpPr>
        <xdr:cNvPr id="33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4E010000}"/>
            </a:ext>
            <a:ext uri="{147F2762-F138-4A5C-976F-8EAC2B608ADB}">
              <a16:predDERef xmlns:a16="http://schemas.microsoft.com/office/drawing/2014/main" pred="{059772F9-FE1D-4CEA-94DE-1A9E0851A9B8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75</xdr:row>
      <xdr:rowOff>161925</xdr:rowOff>
    </xdr:from>
    <xdr:to>
      <xdr:col>3</xdr:col>
      <xdr:colOff>76200</xdr:colOff>
      <xdr:row>77</xdr:row>
      <xdr:rowOff>0</xdr:rowOff>
    </xdr:to>
    <xdr:sp macro="" textlink="">
      <xdr:nvSpPr>
        <xdr:cNvPr id="33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4F010000}"/>
            </a:ext>
            <a:ext uri="{147F2762-F138-4A5C-976F-8EAC2B608ADB}">
              <a16:predDERef xmlns:a16="http://schemas.microsoft.com/office/drawing/2014/main" pred="{AA097DF2-7736-44F9-9F57-CCCCFB949E70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75</xdr:row>
      <xdr:rowOff>161925</xdr:rowOff>
    </xdr:from>
    <xdr:to>
      <xdr:col>3</xdr:col>
      <xdr:colOff>85725</xdr:colOff>
      <xdr:row>77</xdr:row>
      <xdr:rowOff>0</xdr:rowOff>
    </xdr:to>
    <xdr:sp macro="" textlink="">
      <xdr:nvSpPr>
        <xdr:cNvPr id="33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0010000}"/>
            </a:ext>
            <a:ext uri="{147F2762-F138-4A5C-976F-8EAC2B608ADB}">
              <a16:predDERef xmlns:a16="http://schemas.microsoft.com/office/drawing/2014/main" pred="{82505FBF-8D1E-4DF0-AE17-5CB6A3D09D49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76</xdr:row>
      <xdr:rowOff>161925</xdr:rowOff>
    </xdr:from>
    <xdr:to>
      <xdr:col>3</xdr:col>
      <xdr:colOff>76200</xdr:colOff>
      <xdr:row>78</xdr:row>
      <xdr:rowOff>0</xdr:rowOff>
    </xdr:to>
    <xdr:sp macro="" textlink="">
      <xdr:nvSpPr>
        <xdr:cNvPr id="33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1010000}"/>
            </a:ext>
            <a:ext uri="{147F2762-F138-4A5C-976F-8EAC2B608ADB}">
              <a16:predDERef xmlns:a16="http://schemas.microsoft.com/office/drawing/2014/main" pred="{ACEE6F32-51FC-4B39-8D5A-BA20FB7262FF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76</xdr:row>
      <xdr:rowOff>171450</xdr:rowOff>
    </xdr:from>
    <xdr:to>
      <xdr:col>3</xdr:col>
      <xdr:colOff>76200</xdr:colOff>
      <xdr:row>78</xdr:row>
      <xdr:rowOff>9525</xdr:rowOff>
    </xdr:to>
    <xdr:sp macro="" textlink="">
      <xdr:nvSpPr>
        <xdr:cNvPr id="33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52010000}"/>
            </a:ext>
            <a:ext uri="{147F2762-F138-4A5C-976F-8EAC2B608ADB}">
              <a16:predDERef xmlns:a16="http://schemas.microsoft.com/office/drawing/2014/main" pred="{E4AE98B0-64F7-4172-B13B-1C74030F2025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76</xdr:row>
      <xdr:rowOff>161925</xdr:rowOff>
    </xdr:from>
    <xdr:to>
      <xdr:col>3</xdr:col>
      <xdr:colOff>76200</xdr:colOff>
      <xdr:row>78</xdr:row>
      <xdr:rowOff>0</xdr:rowOff>
    </xdr:to>
    <xdr:sp macro="" textlink="">
      <xdr:nvSpPr>
        <xdr:cNvPr id="33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3010000}"/>
            </a:ext>
            <a:ext uri="{147F2762-F138-4A5C-976F-8EAC2B608ADB}">
              <a16:predDERef xmlns:a16="http://schemas.microsoft.com/office/drawing/2014/main" pred="{1E178720-939C-460A-9544-9494B8EF71C1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76</xdr:row>
      <xdr:rowOff>161925</xdr:rowOff>
    </xdr:from>
    <xdr:to>
      <xdr:col>3</xdr:col>
      <xdr:colOff>85725</xdr:colOff>
      <xdr:row>78</xdr:row>
      <xdr:rowOff>0</xdr:rowOff>
    </xdr:to>
    <xdr:sp macro="" textlink="">
      <xdr:nvSpPr>
        <xdr:cNvPr id="34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4010000}"/>
            </a:ext>
            <a:ext uri="{147F2762-F138-4A5C-976F-8EAC2B608ADB}">
              <a16:predDERef xmlns:a16="http://schemas.microsoft.com/office/drawing/2014/main" pred="{7EC0D682-A6DA-454C-8AAA-A41980328447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77</xdr:row>
      <xdr:rowOff>161925</xdr:rowOff>
    </xdr:from>
    <xdr:to>
      <xdr:col>3</xdr:col>
      <xdr:colOff>76200</xdr:colOff>
      <xdr:row>79</xdr:row>
      <xdr:rowOff>0</xdr:rowOff>
    </xdr:to>
    <xdr:sp macro="" textlink="">
      <xdr:nvSpPr>
        <xdr:cNvPr id="34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5010000}"/>
            </a:ext>
            <a:ext uri="{147F2762-F138-4A5C-976F-8EAC2B608ADB}">
              <a16:predDERef xmlns:a16="http://schemas.microsoft.com/office/drawing/2014/main" pred="{412E59D8-42B4-4990-B1C0-288902CE2AE5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77</xdr:row>
      <xdr:rowOff>171450</xdr:rowOff>
    </xdr:from>
    <xdr:to>
      <xdr:col>3</xdr:col>
      <xdr:colOff>76200</xdr:colOff>
      <xdr:row>79</xdr:row>
      <xdr:rowOff>9525</xdr:rowOff>
    </xdr:to>
    <xdr:sp macro="" textlink="">
      <xdr:nvSpPr>
        <xdr:cNvPr id="34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56010000}"/>
            </a:ext>
            <a:ext uri="{147F2762-F138-4A5C-976F-8EAC2B608ADB}">
              <a16:predDERef xmlns:a16="http://schemas.microsoft.com/office/drawing/2014/main" pred="{65174545-D1A5-4D87-BB79-A62AAA4EC7C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77</xdr:row>
      <xdr:rowOff>161925</xdr:rowOff>
    </xdr:from>
    <xdr:to>
      <xdr:col>3</xdr:col>
      <xdr:colOff>76200</xdr:colOff>
      <xdr:row>79</xdr:row>
      <xdr:rowOff>0</xdr:rowOff>
    </xdr:to>
    <xdr:sp macro="" textlink="">
      <xdr:nvSpPr>
        <xdr:cNvPr id="34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7010000}"/>
            </a:ext>
            <a:ext uri="{147F2762-F138-4A5C-976F-8EAC2B608ADB}">
              <a16:predDERef xmlns:a16="http://schemas.microsoft.com/office/drawing/2014/main" pred="{BE350D17-AAB3-46DE-88A5-C00810A48466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77</xdr:row>
      <xdr:rowOff>161925</xdr:rowOff>
    </xdr:from>
    <xdr:to>
      <xdr:col>3</xdr:col>
      <xdr:colOff>85725</xdr:colOff>
      <xdr:row>79</xdr:row>
      <xdr:rowOff>0</xdr:rowOff>
    </xdr:to>
    <xdr:sp macro="" textlink="">
      <xdr:nvSpPr>
        <xdr:cNvPr id="34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8010000}"/>
            </a:ext>
            <a:ext uri="{147F2762-F138-4A5C-976F-8EAC2B608ADB}">
              <a16:predDERef xmlns:a16="http://schemas.microsoft.com/office/drawing/2014/main" pred="{2D7C2B77-1003-4315-B183-EE28C9189F1D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161925</xdr:rowOff>
    </xdr:from>
    <xdr:to>
      <xdr:col>3</xdr:col>
      <xdr:colOff>76200</xdr:colOff>
      <xdr:row>80</xdr:row>
      <xdr:rowOff>0</xdr:rowOff>
    </xdr:to>
    <xdr:sp macro="" textlink="">
      <xdr:nvSpPr>
        <xdr:cNvPr id="34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9010000}"/>
            </a:ext>
            <a:ext uri="{147F2762-F138-4A5C-976F-8EAC2B608ADB}">
              <a16:predDERef xmlns:a16="http://schemas.microsoft.com/office/drawing/2014/main" pred="{4573960F-19CD-4DC9-B67B-251513B4E47B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171450</xdr:rowOff>
    </xdr:from>
    <xdr:to>
      <xdr:col>3</xdr:col>
      <xdr:colOff>76200</xdr:colOff>
      <xdr:row>80</xdr:row>
      <xdr:rowOff>9525</xdr:rowOff>
    </xdr:to>
    <xdr:sp macro="" textlink="">
      <xdr:nvSpPr>
        <xdr:cNvPr id="34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5A010000}"/>
            </a:ext>
            <a:ext uri="{147F2762-F138-4A5C-976F-8EAC2B608ADB}">
              <a16:predDERef xmlns:a16="http://schemas.microsoft.com/office/drawing/2014/main" pred="{BE4516A9-1713-4F4E-B37D-98C9522CC88B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161925</xdr:rowOff>
    </xdr:from>
    <xdr:to>
      <xdr:col>3</xdr:col>
      <xdr:colOff>76200</xdr:colOff>
      <xdr:row>80</xdr:row>
      <xdr:rowOff>0</xdr:rowOff>
    </xdr:to>
    <xdr:sp macro="" textlink="">
      <xdr:nvSpPr>
        <xdr:cNvPr id="34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B010000}"/>
            </a:ext>
            <a:ext uri="{147F2762-F138-4A5C-976F-8EAC2B608ADB}">
              <a16:predDERef xmlns:a16="http://schemas.microsoft.com/office/drawing/2014/main" pred="{074F244B-74BC-4EE0-BE76-E6CD3C9E7CEE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78</xdr:row>
      <xdr:rowOff>161925</xdr:rowOff>
    </xdr:from>
    <xdr:to>
      <xdr:col>3</xdr:col>
      <xdr:colOff>85725</xdr:colOff>
      <xdr:row>80</xdr:row>
      <xdr:rowOff>0</xdr:rowOff>
    </xdr:to>
    <xdr:sp macro="" textlink="">
      <xdr:nvSpPr>
        <xdr:cNvPr id="34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5C010000}"/>
            </a:ext>
            <a:ext uri="{147F2762-F138-4A5C-976F-8EAC2B608ADB}">
              <a16:predDERef xmlns:a16="http://schemas.microsoft.com/office/drawing/2014/main" pred="{135FE0C7-FA80-4DCB-AEAD-9AF4338AC74B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161925</xdr:rowOff>
    </xdr:from>
    <xdr:to>
      <xdr:col>3</xdr:col>
      <xdr:colOff>76200</xdr:colOff>
      <xdr:row>81</xdr:row>
      <xdr:rowOff>0</xdr:rowOff>
    </xdr:to>
    <xdr:sp macro="" textlink="">
      <xdr:nvSpPr>
        <xdr:cNvPr id="34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D010000}"/>
            </a:ext>
            <a:ext uri="{147F2762-F138-4A5C-976F-8EAC2B608ADB}">
              <a16:predDERef xmlns:a16="http://schemas.microsoft.com/office/drawing/2014/main" pred="{6257A4F0-7116-4653-9841-061F5419307B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171450</xdr:rowOff>
    </xdr:from>
    <xdr:to>
      <xdr:col>3</xdr:col>
      <xdr:colOff>76200</xdr:colOff>
      <xdr:row>81</xdr:row>
      <xdr:rowOff>9525</xdr:rowOff>
    </xdr:to>
    <xdr:sp macro="" textlink="">
      <xdr:nvSpPr>
        <xdr:cNvPr id="35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5E010000}"/>
            </a:ext>
            <a:ext uri="{147F2762-F138-4A5C-976F-8EAC2B608ADB}">
              <a16:predDERef xmlns:a16="http://schemas.microsoft.com/office/drawing/2014/main" pred="{F0991977-32FF-4F11-B2B7-B7D7C43520B6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161925</xdr:rowOff>
    </xdr:from>
    <xdr:to>
      <xdr:col>3</xdr:col>
      <xdr:colOff>76200</xdr:colOff>
      <xdr:row>81</xdr:row>
      <xdr:rowOff>0</xdr:rowOff>
    </xdr:to>
    <xdr:sp macro="" textlink="">
      <xdr:nvSpPr>
        <xdr:cNvPr id="35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5F010000}"/>
            </a:ext>
            <a:ext uri="{147F2762-F138-4A5C-976F-8EAC2B608ADB}">
              <a16:predDERef xmlns:a16="http://schemas.microsoft.com/office/drawing/2014/main" pred="{2AC9D497-9CAE-496D-B1C5-98B1F80E9B68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79</xdr:row>
      <xdr:rowOff>161925</xdr:rowOff>
    </xdr:from>
    <xdr:to>
      <xdr:col>3</xdr:col>
      <xdr:colOff>85725</xdr:colOff>
      <xdr:row>81</xdr:row>
      <xdr:rowOff>0</xdr:rowOff>
    </xdr:to>
    <xdr:sp macro="" textlink="">
      <xdr:nvSpPr>
        <xdr:cNvPr id="35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0010000}"/>
            </a:ext>
            <a:ext uri="{147F2762-F138-4A5C-976F-8EAC2B608ADB}">
              <a16:predDERef xmlns:a16="http://schemas.microsoft.com/office/drawing/2014/main" pred="{A5DA95D8-7045-4BA4-951E-0204F9DD426A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161925</xdr:rowOff>
    </xdr:from>
    <xdr:to>
      <xdr:col>3</xdr:col>
      <xdr:colOff>76200</xdr:colOff>
      <xdr:row>82</xdr:row>
      <xdr:rowOff>0</xdr:rowOff>
    </xdr:to>
    <xdr:sp macro="" textlink="">
      <xdr:nvSpPr>
        <xdr:cNvPr id="35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1010000}"/>
            </a:ext>
            <a:ext uri="{147F2762-F138-4A5C-976F-8EAC2B608ADB}">
              <a16:predDERef xmlns:a16="http://schemas.microsoft.com/office/drawing/2014/main" pred="{F2EA85D3-C491-4655-AC62-D42441878BC9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171450</xdr:rowOff>
    </xdr:from>
    <xdr:to>
      <xdr:col>3</xdr:col>
      <xdr:colOff>76200</xdr:colOff>
      <xdr:row>82</xdr:row>
      <xdr:rowOff>9525</xdr:rowOff>
    </xdr:to>
    <xdr:sp macro="" textlink="">
      <xdr:nvSpPr>
        <xdr:cNvPr id="35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62010000}"/>
            </a:ext>
            <a:ext uri="{147F2762-F138-4A5C-976F-8EAC2B608ADB}">
              <a16:predDERef xmlns:a16="http://schemas.microsoft.com/office/drawing/2014/main" pred="{5477F633-1C17-4AD3-8664-FF4D24AF0D20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161925</xdr:rowOff>
    </xdr:from>
    <xdr:to>
      <xdr:col>3</xdr:col>
      <xdr:colOff>76200</xdr:colOff>
      <xdr:row>82</xdr:row>
      <xdr:rowOff>0</xdr:rowOff>
    </xdr:to>
    <xdr:sp macro="" textlink="">
      <xdr:nvSpPr>
        <xdr:cNvPr id="35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3010000}"/>
            </a:ext>
            <a:ext uri="{147F2762-F138-4A5C-976F-8EAC2B608ADB}">
              <a16:predDERef xmlns:a16="http://schemas.microsoft.com/office/drawing/2014/main" pred="{CCBE8A4B-0920-48D3-BD29-CA5949F6003F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80</xdr:row>
      <xdr:rowOff>161925</xdr:rowOff>
    </xdr:from>
    <xdr:to>
      <xdr:col>3</xdr:col>
      <xdr:colOff>85725</xdr:colOff>
      <xdr:row>82</xdr:row>
      <xdr:rowOff>0</xdr:rowOff>
    </xdr:to>
    <xdr:sp macro="" textlink="">
      <xdr:nvSpPr>
        <xdr:cNvPr id="35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4010000}"/>
            </a:ext>
            <a:ext uri="{147F2762-F138-4A5C-976F-8EAC2B608ADB}">
              <a16:predDERef xmlns:a16="http://schemas.microsoft.com/office/drawing/2014/main" pred="{AC7CAE1E-5D15-4759-B95C-0DE6297C2020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161925</xdr:rowOff>
    </xdr:from>
    <xdr:to>
      <xdr:col>3</xdr:col>
      <xdr:colOff>76200</xdr:colOff>
      <xdr:row>83</xdr:row>
      <xdr:rowOff>0</xdr:rowOff>
    </xdr:to>
    <xdr:sp macro="" textlink="">
      <xdr:nvSpPr>
        <xdr:cNvPr id="35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5010000}"/>
            </a:ext>
            <a:ext uri="{147F2762-F138-4A5C-976F-8EAC2B608ADB}">
              <a16:predDERef xmlns:a16="http://schemas.microsoft.com/office/drawing/2014/main" pred="{F2B47D3B-0FF2-4F6C-8F68-24A20417F7FF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171450</xdr:rowOff>
    </xdr:from>
    <xdr:to>
      <xdr:col>3</xdr:col>
      <xdr:colOff>76200</xdr:colOff>
      <xdr:row>83</xdr:row>
      <xdr:rowOff>9525</xdr:rowOff>
    </xdr:to>
    <xdr:sp macro="" textlink="">
      <xdr:nvSpPr>
        <xdr:cNvPr id="358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66010000}"/>
            </a:ext>
            <a:ext uri="{147F2762-F138-4A5C-976F-8EAC2B608ADB}">
              <a16:predDERef xmlns:a16="http://schemas.microsoft.com/office/drawing/2014/main" pred="{5587AEFF-8022-441E-9BBD-CA3E4B5B12AF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161925</xdr:rowOff>
    </xdr:from>
    <xdr:to>
      <xdr:col>3</xdr:col>
      <xdr:colOff>76200</xdr:colOff>
      <xdr:row>83</xdr:row>
      <xdr:rowOff>0</xdr:rowOff>
    </xdr:to>
    <xdr:sp macro="" textlink="">
      <xdr:nvSpPr>
        <xdr:cNvPr id="35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7010000}"/>
            </a:ext>
            <a:ext uri="{147F2762-F138-4A5C-976F-8EAC2B608ADB}">
              <a16:predDERef xmlns:a16="http://schemas.microsoft.com/office/drawing/2014/main" pred="{E8EE5663-EB4A-494E-864B-A1CB3FF129DF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81</xdr:row>
      <xdr:rowOff>161925</xdr:rowOff>
    </xdr:from>
    <xdr:to>
      <xdr:col>3</xdr:col>
      <xdr:colOff>85725</xdr:colOff>
      <xdr:row>83</xdr:row>
      <xdr:rowOff>0</xdr:rowOff>
    </xdr:to>
    <xdr:sp macro="" textlink="">
      <xdr:nvSpPr>
        <xdr:cNvPr id="36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8010000}"/>
            </a:ext>
            <a:ext uri="{147F2762-F138-4A5C-976F-8EAC2B608ADB}">
              <a16:predDERef xmlns:a16="http://schemas.microsoft.com/office/drawing/2014/main" pred="{B40CB3FB-507E-400B-BF37-B75BED0FC5D4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161925</xdr:rowOff>
    </xdr:from>
    <xdr:to>
      <xdr:col>3</xdr:col>
      <xdr:colOff>76200</xdr:colOff>
      <xdr:row>84</xdr:row>
      <xdr:rowOff>0</xdr:rowOff>
    </xdr:to>
    <xdr:sp macro="" textlink="">
      <xdr:nvSpPr>
        <xdr:cNvPr id="36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9010000}"/>
            </a:ext>
            <a:ext uri="{147F2762-F138-4A5C-976F-8EAC2B608ADB}">
              <a16:predDERef xmlns:a16="http://schemas.microsoft.com/office/drawing/2014/main" pred="{691C0C3D-8234-4098-A85A-5AC90FF6E737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171450</xdr:rowOff>
    </xdr:from>
    <xdr:to>
      <xdr:col>3</xdr:col>
      <xdr:colOff>76200</xdr:colOff>
      <xdr:row>84</xdr:row>
      <xdr:rowOff>9525</xdr:rowOff>
    </xdr:to>
    <xdr:sp macro="" textlink="">
      <xdr:nvSpPr>
        <xdr:cNvPr id="36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6A010000}"/>
            </a:ext>
            <a:ext uri="{147F2762-F138-4A5C-976F-8EAC2B608ADB}">
              <a16:predDERef xmlns:a16="http://schemas.microsoft.com/office/drawing/2014/main" pred="{25758FA9-FB6D-4C18-AB11-B30E8B84CA4A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161925</xdr:rowOff>
    </xdr:from>
    <xdr:to>
      <xdr:col>3</xdr:col>
      <xdr:colOff>76200</xdr:colOff>
      <xdr:row>84</xdr:row>
      <xdr:rowOff>0</xdr:rowOff>
    </xdr:to>
    <xdr:sp macro="" textlink="">
      <xdr:nvSpPr>
        <xdr:cNvPr id="36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B010000}"/>
            </a:ext>
            <a:ext uri="{147F2762-F138-4A5C-976F-8EAC2B608ADB}">
              <a16:predDERef xmlns:a16="http://schemas.microsoft.com/office/drawing/2014/main" pred="{11B99731-1FE6-4EBF-9A6B-87532A88D6E2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82</xdr:row>
      <xdr:rowOff>161925</xdr:rowOff>
    </xdr:from>
    <xdr:to>
      <xdr:col>3</xdr:col>
      <xdr:colOff>85725</xdr:colOff>
      <xdr:row>84</xdr:row>
      <xdr:rowOff>0</xdr:rowOff>
    </xdr:to>
    <xdr:sp macro="" textlink="">
      <xdr:nvSpPr>
        <xdr:cNvPr id="36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6C010000}"/>
            </a:ext>
            <a:ext uri="{147F2762-F138-4A5C-976F-8EAC2B608ADB}">
              <a16:predDERef xmlns:a16="http://schemas.microsoft.com/office/drawing/2014/main" pred="{DBDC19E5-7A66-4A83-B4FB-FE42471F79BA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161925</xdr:rowOff>
    </xdr:from>
    <xdr:to>
      <xdr:col>3</xdr:col>
      <xdr:colOff>76200</xdr:colOff>
      <xdr:row>85</xdr:row>
      <xdr:rowOff>0</xdr:rowOff>
    </xdr:to>
    <xdr:sp macro="" textlink="">
      <xdr:nvSpPr>
        <xdr:cNvPr id="36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D010000}"/>
            </a:ext>
            <a:ext uri="{147F2762-F138-4A5C-976F-8EAC2B608ADB}">
              <a16:predDERef xmlns:a16="http://schemas.microsoft.com/office/drawing/2014/main" pred="{4B879E0F-BAEA-4B2F-9C66-EF7AC928D4C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171450</xdr:rowOff>
    </xdr:from>
    <xdr:to>
      <xdr:col>3</xdr:col>
      <xdr:colOff>76200</xdr:colOff>
      <xdr:row>85</xdr:row>
      <xdr:rowOff>9525</xdr:rowOff>
    </xdr:to>
    <xdr:sp macro="" textlink="">
      <xdr:nvSpPr>
        <xdr:cNvPr id="36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6E010000}"/>
            </a:ext>
            <a:ext uri="{147F2762-F138-4A5C-976F-8EAC2B608ADB}">
              <a16:predDERef xmlns:a16="http://schemas.microsoft.com/office/drawing/2014/main" pred="{CD086084-BC78-49F7-8C23-5BCB269DD4EC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161925</xdr:rowOff>
    </xdr:from>
    <xdr:to>
      <xdr:col>3</xdr:col>
      <xdr:colOff>76200</xdr:colOff>
      <xdr:row>85</xdr:row>
      <xdr:rowOff>0</xdr:rowOff>
    </xdr:to>
    <xdr:sp macro="" textlink="">
      <xdr:nvSpPr>
        <xdr:cNvPr id="36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6F010000}"/>
            </a:ext>
            <a:ext uri="{147F2762-F138-4A5C-976F-8EAC2B608ADB}">
              <a16:predDERef xmlns:a16="http://schemas.microsoft.com/office/drawing/2014/main" pred="{AD9AA608-BF1C-4D6D-9514-A2D48442BFFA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83</xdr:row>
      <xdr:rowOff>161925</xdr:rowOff>
    </xdr:from>
    <xdr:to>
      <xdr:col>3</xdr:col>
      <xdr:colOff>85725</xdr:colOff>
      <xdr:row>85</xdr:row>
      <xdr:rowOff>0</xdr:rowOff>
    </xdr:to>
    <xdr:sp macro="" textlink="">
      <xdr:nvSpPr>
        <xdr:cNvPr id="36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0010000}"/>
            </a:ext>
            <a:ext uri="{147F2762-F138-4A5C-976F-8EAC2B608ADB}">
              <a16:predDERef xmlns:a16="http://schemas.microsoft.com/office/drawing/2014/main" pred="{66F74E24-A71B-443D-8091-704A1CA70AB2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161925</xdr:rowOff>
    </xdr:from>
    <xdr:to>
      <xdr:col>3</xdr:col>
      <xdr:colOff>76200</xdr:colOff>
      <xdr:row>86</xdr:row>
      <xdr:rowOff>0</xdr:rowOff>
    </xdr:to>
    <xdr:sp macro="" textlink="">
      <xdr:nvSpPr>
        <xdr:cNvPr id="36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1010000}"/>
            </a:ext>
            <a:ext uri="{147F2762-F138-4A5C-976F-8EAC2B608ADB}">
              <a16:predDERef xmlns:a16="http://schemas.microsoft.com/office/drawing/2014/main" pred="{8DC1D87F-FC6C-4233-B5E5-A30B9EF62E64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171450</xdr:rowOff>
    </xdr:from>
    <xdr:to>
      <xdr:col>3</xdr:col>
      <xdr:colOff>76200</xdr:colOff>
      <xdr:row>86</xdr:row>
      <xdr:rowOff>9525</xdr:rowOff>
    </xdr:to>
    <xdr:sp macro="" textlink="">
      <xdr:nvSpPr>
        <xdr:cNvPr id="37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72010000}"/>
            </a:ext>
            <a:ext uri="{147F2762-F138-4A5C-976F-8EAC2B608ADB}">
              <a16:predDERef xmlns:a16="http://schemas.microsoft.com/office/drawing/2014/main" pred="{AFE3FDDA-A2EF-4017-8DA0-A747B769D74C}"/>
            </a:ext>
          </a:extLst>
        </xdr:cNvPr>
        <xdr:cNvSpPr/>
      </xdr:nvSpPr>
      <xdr:spPr bwMode="auto">
        <a:xfrm>
          <a:off x="1028700" y="42100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161925</xdr:rowOff>
    </xdr:from>
    <xdr:to>
      <xdr:col>3</xdr:col>
      <xdr:colOff>76200</xdr:colOff>
      <xdr:row>86</xdr:row>
      <xdr:rowOff>0</xdr:rowOff>
    </xdr:to>
    <xdr:sp macro="" textlink="">
      <xdr:nvSpPr>
        <xdr:cNvPr id="37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3010000}"/>
            </a:ext>
            <a:ext uri="{147F2762-F138-4A5C-976F-8EAC2B608ADB}">
              <a16:predDERef xmlns:a16="http://schemas.microsoft.com/office/drawing/2014/main" pred="{B33507FB-5E3A-42A1-807A-096AC95C771A}"/>
            </a:ext>
          </a:extLst>
        </xdr:cNvPr>
        <xdr:cNvSpPr/>
      </xdr:nvSpPr>
      <xdr:spPr bwMode="auto">
        <a:xfrm>
          <a:off x="1028700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84</xdr:row>
      <xdr:rowOff>161925</xdr:rowOff>
    </xdr:from>
    <xdr:to>
      <xdr:col>3</xdr:col>
      <xdr:colOff>85725</xdr:colOff>
      <xdr:row>86</xdr:row>
      <xdr:rowOff>0</xdr:rowOff>
    </xdr:to>
    <xdr:sp macro="" textlink="">
      <xdr:nvSpPr>
        <xdr:cNvPr id="37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4010000}"/>
            </a:ext>
            <a:ext uri="{147F2762-F138-4A5C-976F-8EAC2B608ADB}">
              <a16:predDERef xmlns:a16="http://schemas.microsoft.com/office/drawing/2014/main" pred="{136A0D79-8D8B-4B00-B285-53D39965B22C}"/>
            </a:ext>
          </a:extLst>
        </xdr:cNvPr>
        <xdr:cNvSpPr/>
      </xdr:nvSpPr>
      <xdr:spPr bwMode="auto">
        <a:xfrm>
          <a:off x="10382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85</xdr:row>
      <xdr:rowOff>161925</xdr:rowOff>
    </xdr:from>
    <xdr:to>
      <xdr:col>3</xdr:col>
      <xdr:colOff>76200</xdr:colOff>
      <xdr:row>87</xdr:row>
      <xdr:rowOff>0</xdr:rowOff>
    </xdr:to>
    <xdr:sp macro="" textlink="">
      <xdr:nvSpPr>
        <xdr:cNvPr id="37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5010000}"/>
            </a:ext>
            <a:ext uri="{147F2762-F138-4A5C-976F-8EAC2B608ADB}">
              <a16:predDERef xmlns:a16="http://schemas.microsoft.com/office/drawing/2014/main" pred="{419279FB-00E3-4941-97F0-259FFE64C058}"/>
            </a:ext>
          </a:extLst>
        </xdr:cNvPr>
        <xdr:cNvSpPr/>
      </xdr:nvSpPr>
      <xdr:spPr bwMode="auto">
        <a:xfrm>
          <a:off x="1028700" y="4391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77</xdr:row>
      <xdr:rowOff>161925</xdr:rowOff>
    </xdr:from>
    <xdr:to>
      <xdr:col>3</xdr:col>
      <xdr:colOff>76200</xdr:colOff>
      <xdr:row>79</xdr:row>
      <xdr:rowOff>0</xdr:rowOff>
    </xdr:to>
    <xdr:sp macro="" textlink="">
      <xdr:nvSpPr>
        <xdr:cNvPr id="374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6010000}"/>
            </a:ext>
            <a:ext uri="{147F2762-F138-4A5C-976F-8EAC2B608ADB}">
              <a16:predDERef xmlns:a16="http://schemas.microsoft.com/office/drawing/2014/main" pred="{A41AE804-3FB0-4A65-8D8A-D98D0624E294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77</xdr:row>
      <xdr:rowOff>171450</xdr:rowOff>
    </xdr:from>
    <xdr:to>
      <xdr:col>3</xdr:col>
      <xdr:colOff>76200</xdr:colOff>
      <xdr:row>79</xdr:row>
      <xdr:rowOff>9525</xdr:rowOff>
    </xdr:to>
    <xdr:sp macro="" textlink="">
      <xdr:nvSpPr>
        <xdr:cNvPr id="375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77010000}"/>
            </a:ext>
            <a:ext uri="{147F2762-F138-4A5C-976F-8EAC2B608ADB}">
              <a16:predDERef xmlns:a16="http://schemas.microsoft.com/office/drawing/2014/main" pred="{79417018-5F82-42A6-8805-B7C6DD774B03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77</xdr:row>
      <xdr:rowOff>161925</xdr:rowOff>
    </xdr:from>
    <xdr:to>
      <xdr:col>3</xdr:col>
      <xdr:colOff>76200</xdr:colOff>
      <xdr:row>79</xdr:row>
      <xdr:rowOff>0</xdr:rowOff>
    </xdr:to>
    <xdr:sp macro="" textlink="">
      <xdr:nvSpPr>
        <xdr:cNvPr id="376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8010000}"/>
            </a:ext>
            <a:ext uri="{147F2762-F138-4A5C-976F-8EAC2B608ADB}">
              <a16:predDERef xmlns:a16="http://schemas.microsoft.com/office/drawing/2014/main" pred="{C0AA3AE2-A66F-46B6-B1BC-E79A2C3843F3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77</xdr:row>
      <xdr:rowOff>161925</xdr:rowOff>
    </xdr:from>
    <xdr:to>
      <xdr:col>3</xdr:col>
      <xdr:colOff>85725</xdr:colOff>
      <xdr:row>79</xdr:row>
      <xdr:rowOff>0</xdr:rowOff>
    </xdr:to>
    <xdr:sp macro="" textlink="">
      <xdr:nvSpPr>
        <xdr:cNvPr id="377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9010000}"/>
            </a:ext>
            <a:ext uri="{147F2762-F138-4A5C-976F-8EAC2B608ADB}">
              <a16:predDERef xmlns:a16="http://schemas.microsoft.com/office/drawing/2014/main" pred="{105C5D39-5F92-427B-9B22-53BBD2B483D5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161925</xdr:rowOff>
    </xdr:from>
    <xdr:to>
      <xdr:col>3</xdr:col>
      <xdr:colOff>76200</xdr:colOff>
      <xdr:row>80</xdr:row>
      <xdr:rowOff>0</xdr:rowOff>
    </xdr:to>
    <xdr:sp macro="" textlink="">
      <xdr:nvSpPr>
        <xdr:cNvPr id="378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A010000}"/>
            </a:ext>
            <a:ext uri="{147F2762-F138-4A5C-976F-8EAC2B608ADB}">
              <a16:predDERef xmlns:a16="http://schemas.microsoft.com/office/drawing/2014/main" pred="{9C1F438D-4D35-49BB-A444-903E00767E4B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161925</xdr:rowOff>
    </xdr:from>
    <xdr:to>
      <xdr:col>3</xdr:col>
      <xdr:colOff>76200</xdr:colOff>
      <xdr:row>80</xdr:row>
      <xdr:rowOff>0</xdr:rowOff>
    </xdr:to>
    <xdr:sp macro="" textlink="">
      <xdr:nvSpPr>
        <xdr:cNvPr id="37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B010000}"/>
            </a:ext>
            <a:ext uri="{147F2762-F138-4A5C-976F-8EAC2B608ADB}">
              <a16:predDERef xmlns:a16="http://schemas.microsoft.com/office/drawing/2014/main" pred="{9EB6A82D-21A4-487D-9D39-67B5CECB8D38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78</xdr:row>
      <xdr:rowOff>161925</xdr:rowOff>
    </xdr:from>
    <xdr:to>
      <xdr:col>3</xdr:col>
      <xdr:colOff>85725</xdr:colOff>
      <xdr:row>80</xdr:row>
      <xdr:rowOff>0</xdr:rowOff>
    </xdr:to>
    <xdr:sp macro="" textlink="">
      <xdr:nvSpPr>
        <xdr:cNvPr id="380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7C010000}"/>
            </a:ext>
            <a:ext uri="{147F2762-F138-4A5C-976F-8EAC2B608ADB}">
              <a16:predDERef xmlns:a16="http://schemas.microsoft.com/office/drawing/2014/main" pred="{ABE4C8EF-0204-4314-A436-81CC4E73837B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161925</xdr:rowOff>
    </xdr:from>
    <xdr:to>
      <xdr:col>3</xdr:col>
      <xdr:colOff>76200</xdr:colOff>
      <xdr:row>80</xdr:row>
      <xdr:rowOff>0</xdr:rowOff>
    </xdr:to>
    <xdr:sp macro="" textlink="">
      <xdr:nvSpPr>
        <xdr:cNvPr id="38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D010000}"/>
            </a:ext>
            <a:ext uri="{147F2762-F138-4A5C-976F-8EAC2B608ADB}">
              <a16:predDERef xmlns:a16="http://schemas.microsoft.com/office/drawing/2014/main" pred="{E35FE22F-3968-4DA1-8A5F-61F65D262559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171450</xdr:rowOff>
    </xdr:from>
    <xdr:to>
      <xdr:col>3</xdr:col>
      <xdr:colOff>76200</xdr:colOff>
      <xdr:row>80</xdr:row>
      <xdr:rowOff>9525</xdr:rowOff>
    </xdr:to>
    <xdr:sp macro="" textlink="">
      <xdr:nvSpPr>
        <xdr:cNvPr id="382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7E010000}"/>
            </a:ext>
            <a:ext uri="{147F2762-F138-4A5C-976F-8EAC2B608ADB}">
              <a16:predDERef xmlns:a16="http://schemas.microsoft.com/office/drawing/2014/main" pred="{E50D2652-9A0C-4932-9964-6645C069EFD5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78</xdr:row>
      <xdr:rowOff>161925</xdr:rowOff>
    </xdr:from>
    <xdr:to>
      <xdr:col>3</xdr:col>
      <xdr:colOff>76200</xdr:colOff>
      <xdr:row>80</xdr:row>
      <xdr:rowOff>0</xdr:rowOff>
    </xdr:to>
    <xdr:sp macro="" textlink="">
      <xdr:nvSpPr>
        <xdr:cNvPr id="38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7F010000}"/>
            </a:ext>
            <a:ext uri="{147F2762-F138-4A5C-976F-8EAC2B608ADB}">
              <a16:predDERef xmlns:a16="http://schemas.microsoft.com/office/drawing/2014/main" pred="{3CB6A52A-EC1E-43FC-9EBC-5D2F381DC51D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78</xdr:row>
      <xdr:rowOff>161925</xdr:rowOff>
    </xdr:from>
    <xdr:to>
      <xdr:col>3</xdr:col>
      <xdr:colOff>85725</xdr:colOff>
      <xdr:row>80</xdr:row>
      <xdr:rowOff>0</xdr:rowOff>
    </xdr:to>
    <xdr:sp macro="" textlink="">
      <xdr:nvSpPr>
        <xdr:cNvPr id="38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0010000}"/>
            </a:ext>
            <a:ext uri="{147F2762-F138-4A5C-976F-8EAC2B608ADB}">
              <a16:predDERef xmlns:a16="http://schemas.microsoft.com/office/drawing/2014/main" pred="{678F953E-A06D-45C2-9497-8E4976C3AE80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161925</xdr:rowOff>
    </xdr:from>
    <xdr:to>
      <xdr:col>3</xdr:col>
      <xdr:colOff>76200</xdr:colOff>
      <xdr:row>81</xdr:row>
      <xdr:rowOff>0</xdr:rowOff>
    </xdr:to>
    <xdr:sp macro="" textlink="">
      <xdr:nvSpPr>
        <xdr:cNvPr id="38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1010000}"/>
            </a:ext>
            <a:ext uri="{147F2762-F138-4A5C-976F-8EAC2B608ADB}">
              <a16:predDERef xmlns:a16="http://schemas.microsoft.com/office/drawing/2014/main" pred="{920279CC-7B8A-46C3-A28D-69B5B7E339F1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161925</xdr:rowOff>
    </xdr:from>
    <xdr:to>
      <xdr:col>3</xdr:col>
      <xdr:colOff>76200</xdr:colOff>
      <xdr:row>81</xdr:row>
      <xdr:rowOff>0</xdr:rowOff>
    </xdr:to>
    <xdr:sp macro="" textlink="">
      <xdr:nvSpPr>
        <xdr:cNvPr id="386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2010000}"/>
            </a:ext>
            <a:ext uri="{147F2762-F138-4A5C-976F-8EAC2B608ADB}">
              <a16:predDERef xmlns:a16="http://schemas.microsoft.com/office/drawing/2014/main" pred="{4043B7A0-9C4F-4AE7-8524-494390809737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79</xdr:row>
      <xdr:rowOff>161925</xdr:rowOff>
    </xdr:from>
    <xdr:to>
      <xdr:col>3</xdr:col>
      <xdr:colOff>85725</xdr:colOff>
      <xdr:row>81</xdr:row>
      <xdr:rowOff>0</xdr:rowOff>
    </xdr:to>
    <xdr:sp macro="" textlink="">
      <xdr:nvSpPr>
        <xdr:cNvPr id="387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3010000}"/>
            </a:ext>
            <a:ext uri="{147F2762-F138-4A5C-976F-8EAC2B608ADB}">
              <a16:predDERef xmlns:a16="http://schemas.microsoft.com/office/drawing/2014/main" pred="{31DACD3C-EE99-4B53-B5BD-968BEF982E13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161925</xdr:rowOff>
    </xdr:from>
    <xdr:to>
      <xdr:col>3</xdr:col>
      <xdr:colOff>76200</xdr:colOff>
      <xdr:row>81</xdr:row>
      <xdr:rowOff>0</xdr:rowOff>
    </xdr:to>
    <xdr:sp macro="" textlink="">
      <xdr:nvSpPr>
        <xdr:cNvPr id="388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4010000}"/>
            </a:ext>
            <a:ext uri="{147F2762-F138-4A5C-976F-8EAC2B608ADB}">
              <a16:predDERef xmlns:a16="http://schemas.microsoft.com/office/drawing/2014/main" pred="{C1F0227A-C328-44DB-BC81-8E4B42B4FCC7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171450</xdr:rowOff>
    </xdr:from>
    <xdr:to>
      <xdr:col>3</xdr:col>
      <xdr:colOff>76200</xdr:colOff>
      <xdr:row>81</xdr:row>
      <xdr:rowOff>9525</xdr:rowOff>
    </xdr:to>
    <xdr:sp macro="" textlink="">
      <xdr:nvSpPr>
        <xdr:cNvPr id="389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85010000}"/>
            </a:ext>
            <a:ext uri="{147F2762-F138-4A5C-976F-8EAC2B608ADB}">
              <a16:predDERef xmlns:a16="http://schemas.microsoft.com/office/drawing/2014/main" pred="{A60CCD1D-4EDE-40C9-9DE5-AAE9943A7EC1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79</xdr:row>
      <xdr:rowOff>161925</xdr:rowOff>
    </xdr:from>
    <xdr:to>
      <xdr:col>3</xdr:col>
      <xdr:colOff>76200</xdr:colOff>
      <xdr:row>81</xdr:row>
      <xdr:rowOff>0</xdr:rowOff>
    </xdr:to>
    <xdr:sp macro="" textlink="">
      <xdr:nvSpPr>
        <xdr:cNvPr id="390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6010000}"/>
            </a:ext>
            <a:ext uri="{147F2762-F138-4A5C-976F-8EAC2B608ADB}">
              <a16:predDERef xmlns:a16="http://schemas.microsoft.com/office/drawing/2014/main" pred="{A6A50095-ECE7-481E-87D2-A395DB651706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79</xdr:row>
      <xdr:rowOff>161925</xdr:rowOff>
    </xdr:from>
    <xdr:to>
      <xdr:col>3</xdr:col>
      <xdr:colOff>85725</xdr:colOff>
      <xdr:row>81</xdr:row>
      <xdr:rowOff>0</xdr:rowOff>
    </xdr:to>
    <xdr:sp macro="" textlink="">
      <xdr:nvSpPr>
        <xdr:cNvPr id="391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7010000}"/>
            </a:ext>
            <a:ext uri="{147F2762-F138-4A5C-976F-8EAC2B608ADB}">
              <a16:predDERef xmlns:a16="http://schemas.microsoft.com/office/drawing/2014/main" pred="{22280B4C-AB3E-41C5-932A-A864B064708F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161925</xdr:rowOff>
    </xdr:from>
    <xdr:to>
      <xdr:col>3</xdr:col>
      <xdr:colOff>76200</xdr:colOff>
      <xdr:row>82</xdr:row>
      <xdr:rowOff>0</xdr:rowOff>
    </xdr:to>
    <xdr:sp macro="" textlink="">
      <xdr:nvSpPr>
        <xdr:cNvPr id="392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8010000}"/>
            </a:ext>
            <a:ext uri="{147F2762-F138-4A5C-976F-8EAC2B608ADB}">
              <a16:predDERef xmlns:a16="http://schemas.microsoft.com/office/drawing/2014/main" pred="{F3035230-95EC-4A95-8253-1D8894DC44D0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161925</xdr:rowOff>
    </xdr:from>
    <xdr:to>
      <xdr:col>3</xdr:col>
      <xdr:colOff>76200</xdr:colOff>
      <xdr:row>82</xdr:row>
      <xdr:rowOff>0</xdr:rowOff>
    </xdr:to>
    <xdr:sp macro="" textlink="">
      <xdr:nvSpPr>
        <xdr:cNvPr id="39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9010000}"/>
            </a:ext>
            <a:ext uri="{147F2762-F138-4A5C-976F-8EAC2B608ADB}">
              <a16:predDERef xmlns:a16="http://schemas.microsoft.com/office/drawing/2014/main" pred="{D3E00ACA-DC58-4AB0-AA32-EAA884D7CA76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80</xdr:row>
      <xdr:rowOff>161925</xdr:rowOff>
    </xdr:from>
    <xdr:to>
      <xdr:col>3</xdr:col>
      <xdr:colOff>85725</xdr:colOff>
      <xdr:row>82</xdr:row>
      <xdr:rowOff>0</xdr:rowOff>
    </xdr:to>
    <xdr:sp macro="" textlink="">
      <xdr:nvSpPr>
        <xdr:cNvPr id="394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A010000}"/>
            </a:ext>
            <a:ext uri="{147F2762-F138-4A5C-976F-8EAC2B608ADB}">
              <a16:predDERef xmlns:a16="http://schemas.microsoft.com/office/drawing/2014/main" pred="{33D8F9E4-F2B5-40D5-9F3A-B611E93CFA43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161925</xdr:rowOff>
    </xdr:from>
    <xdr:to>
      <xdr:col>3</xdr:col>
      <xdr:colOff>76200</xdr:colOff>
      <xdr:row>82</xdr:row>
      <xdr:rowOff>0</xdr:rowOff>
    </xdr:to>
    <xdr:sp macro="" textlink="">
      <xdr:nvSpPr>
        <xdr:cNvPr id="39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B010000}"/>
            </a:ext>
            <a:ext uri="{147F2762-F138-4A5C-976F-8EAC2B608ADB}">
              <a16:predDERef xmlns:a16="http://schemas.microsoft.com/office/drawing/2014/main" pred="{D55A596A-5E93-4612-A80F-E6A5C9774AED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171450</xdr:rowOff>
    </xdr:from>
    <xdr:to>
      <xdr:col>3</xdr:col>
      <xdr:colOff>76200</xdr:colOff>
      <xdr:row>82</xdr:row>
      <xdr:rowOff>9525</xdr:rowOff>
    </xdr:to>
    <xdr:sp macro="" textlink="">
      <xdr:nvSpPr>
        <xdr:cNvPr id="396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8C010000}"/>
            </a:ext>
            <a:ext uri="{147F2762-F138-4A5C-976F-8EAC2B608ADB}">
              <a16:predDERef xmlns:a16="http://schemas.microsoft.com/office/drawing/2014/main" pred="{83F08DB5-AAEF-4BFD-8F67-C39FC4BA745D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80</xdr:row>
      <xdr:rowOff>161925</xdr:rowOff>
    </xdr:from>
    <xdr:to>
      <xdr:col>3</xdr:col>
      <xdr:colOff>76200</xdr:colOff>
      <xdr:row>82</xdr:row>
      <xdr:rowOff>0</xdr:rowOff>
    </xdr:to>
    <xdr:sp macro="" textlink="">
      <xdr:nvSpPr>
        <xdr:cNvPr id="39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D010000}"/>
            </a:ext>
            <a:ext uri="{147F2762-F138-4A5C-976F-8EAC2B608ADB}">
              <a16:predDERef xmlns:a16="http://schemas.microsoft.com/office/drawing/2014/main" pred="{282F8E54-AD12-4AA6-B619-79F301514427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80</xdr:row>
      <xdr:rowOff>161925</xdr:rowOff>
    </xdr:from>
    <xdr:to>
      <xdr:col>3</xdr:col>
      <xdr:colOff>85725</xdr:colOff>
      <xdr:row>82</xdr:row>
      <xdr:rowOff>0</xdr:rowOff>
    </xdr:to>
    <xdr:sp macro="" textlink="">
      <xdr:nvSpPr>
        <xdr:cNvPr id="39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8E010000}"/>
            </a:ext>
            <a:ext uri="{147F2762-F138-4A5C-976F-8EAC2B608ADB}">
              <a16:predDERef xmlns:a16="http://schemas.microsoft.com/office/drawing/2014/main" pred="{9EA39FCD-CE73-4FB5-BC0F-A0382AFE72D2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161925</xdr:rowOff>
    </xdr:from>
    <xdr:to>
      <xdr:col>3</xdr:col>
      <xdr:colOff>76200</xdr:colOff>
      <xdr:row>83</xdr:row>
      <xdr:rowOff>0</xdr:rowOff>
    </xdr:to>
    <xdr:sp macro="" textlink="">
      <xdr:nvSpPr>
        <xdr:cNvPr id="39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8F010000}"/>
            </a:ext>
            <a:ext uri="{147F2762-F138-4A5C-976F-8EAC2B608ADB}">
              <a16:predDERef xmlns:a16="http://schemas.microsoft.com/office/drawing/2014/main" pred="{9D4A11BE-10DA-4E70-8083-467243C1CEBF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161925</xdr:rowOff>
    </xdr:from>
    <xdr:to>
      <xdr:col>3</xdr:col>
      <xdr:colOff>76200</xdr:colOff>
      <xdr:row>83</xdr:row>
      <xdr:rowOff>0</xdr:rowOff>
    </xdr:to>
    <xdr:sp macro="" textlink="">
      <xdr:nvSpPr>
        <xdr:cNvPr id="400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0010000}"/>
            </a:ext>
            <a:ext uri="{147F2762-F138-4A5C-976F-8EAC2B608ADB}">
              <a16:predDERef xmlns:a16="http://schemas.microsoft.com/office/drawing/2014/main" pred="{0ABA38CB-6B7B-4ECC-B6AC-541DF11BE2A4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81</xdr:row>
      <xdr:rowOff>161925</xdr:rowOff>
    </xdr:from>
    <xdr:to>
      <xdr:col>3</xdr:col>
      <xdr:colOff>85725</xdr:colOff>
      <xdr:row>83</xdr:row>
      <xdr:rowOff>0</xdr:rowOff>
    </xdr:to>
    <xdr:sp macro="" textlink="">
      <xdr:nvSpPr>
        <xdr:cNvPr id="401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1010000}"/>
            </a:ext>
            <a:ext uri="{147F2762-F138-4A5C-976F-8EAC2B608ADB}">
              <a16:predDERef xmlns:a16="http://schemas.microsoft.com/office/drawing/2014/main" pred="{DF957216-95D6-4009-B108-28B1FDA517E0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161925</xdr:rowOff>
    </xdr:from>
    <xdr:to>
      <xdr:col>3</xdr:col>
      <xdr:colOff>76200</xdr:colOff>
      <xdr:row>83</xdr:row>
      <xdr:rowOff>0</xdr:rowOff>
    </xdr:to>
    <xdr:sp macro="" textlink="">
      <xdr:nvSpPr>
        <xdr:cNvPr id="402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2010000}"/>
            </a:ext>
            <a:ext uri="{147F2762-F138-4A5C-976F-8EAC2B608ADB}">
              <a16:predDERef xmlns:a16="http://schemas.microsoft.com/office/drawing/2014/main" pred="{5485D82D-53A3-42F2-A92A-436D53E55944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171450</xdr:rowOff>
    </xdr:from>
    <xdr:to>
      <xdr:col>3</xdr:col>
      <xdr:colOff>76200</xdr:colOff>
      <xdr:row>83</xdr:row>
      <xdr:rowOff>9525</xdr:rowOff>
    </xdr:to>
    <xdr:sp macro="" textlink="">
      <xdr:nvSpPr>
        <xdr:cNvPr id="403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93010000}"/>
            </a:ext>
            <a:ext uri="{147F2762-F138-4A5C-976F-8EAC2B608ADB}">
              <a16:predDERef xmlns:a16="http://schemas.microsoft.com/office/drawing/2014/main" pred="{31994953-60AD-47ED-AAB9-6A1A7124046D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81</xdr:row>
      <xdr:rowOff>161925</xdr:rowOff>
    </xdr:from>
    <xdr:to>
      <xdr:col>3</xdr:col>
      <xdr:colOff>76200</xdr:colOff>
      <xdr:row>83</xdr:row>
      <xdr:rowOff>0</xdr:rowOff>
    </xdr:to>
    <xdr:sp macro="" textlink="">
      <xdr:nvSpPr>
        <xdr:cNvPr id="404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4010000}"/>
            </a:ext>
            <a:ext uri="{147F2762-F138-4A5C-976F-8EAC2B608ADB}">
              <a16:predDERef xmlns:a16="http://schemas.microsoft.com/office/drawing/2014/main" pred="{B5024456-EAA5-41FA-8786-10A80D1E2073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81</xdr:row>
      <xdr:rowOff>161925</xdr:rowOff>
    </xdr:from>
    <xdr:to>
      <xdr:col>3</xdr:col>
      <xdr:colOff>85725</xdr:colOff>
      <xdr:row>83</xdr:row>
      <xdr:rowOff>0</xdr:rowOff>
    </xdr:to>
    <xdr:sp macro="" textlink="">
      <xdr:nvSpPr>
        <xdr:cNvPr id="405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5010000}"/>
            </a:ext>
            <a:ext uri="{147F2762-F138-4A5C-976F-8EAC2B608ADB}">
              <a16:predDERef xmlns:a16="http://schemas.microsoft.com/office/drawing/2014/main" pred="{228348BC-18C2-4638-A5F5-1FC43AB53479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161925</xdr:rowOff>
    </xdr:from>
    <xdr:to>
      <xdr:col>3</xdr:col>
      <xdr:colOff>76200</xdr:colOff>
      <xdr:row>84</xdr:row>
      <xdr:rowOff>0</xdr:rowOff>
    </xdr:to>
    <xdr:sp macro="" textlink="">
      <xdr:nvSpPr>
        <xdr:cNvPr id="406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6010000}"/>
            </a:ext>
            <a:ext uri="{147F2762-F138-4A5C-976F-8EAC2B608ADB}">
              <a16:predDERef xmlns:a16="http://schemas.microsoft.com/office/drawing/2014/main" pred="{0D15C2C2-C678-42F8-B1BE-E0C32AE77770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161925</xdr:rowOff>
    </xdr:from>
    <xdr:to>
      <xdr:col>3</xdr:col>
      <xdr:colOff>76200</xdr:colOff>
      <xdr:row>84</xdr:row>
      <xdr:rowOff>0</xdr:rowOff>
    </xdr:to>
    <xdr:sp macro="" textlink="">
      <xdr:nvSpPr>
        <xdr:cNvPr id="40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7010000}"/>
            </a:ext>
            <a:ext uri="{147F2762-F138-4A5C-976F-8EAC2B608ADB}">
              <a16:predDERef xmlns:a16="http://schemas.microsoft.com/office/drawing/2014/main" pred="{1802BD72-36CD-4E8C-9352-F2248CEC245A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82</xdr:row>
      <xdr:rowOff>161925</xdr:rowOff>
    </xdr:from>
    <xdr:to>
      <xdr:col>3</xdr:col>
      <xdr:colOff>85725</xdr:colOff>
      <xdr:row>84</xdr:row>
      <xdr:rowOff>0</xdr:rowOff>
    </xdr:to>
    <xdr:sp macro="" textlink="">
      <xdr:nvSpPr>
        <xdr:cNvPr id="408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8010000}"/>
            </a:ext>
            <a:ext uri="{147F2762-F138-4A5C-976F-8EAC2B608ADB}">
              <a16:predDERef xmlns:a16="http://schemas.microsoft.com/office/drawing/2014/main" pred="{B9FCCFBE-1E76-45F4-BB9E-AB7EFC479EEE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161925</xdr:rowOff>
    </xdr:from>
    <xdr:to>
      <xdr:col>3</xdr:col>
      <xdr:colOff>76200</xdr:colOff>
      <xdr:row>84</xdr:row>
      <xdr:rowOff>0</xdr:rowOff>
    </xdr:to>
    <xdr:sp macro="" textlink="">
      <xdr:nvSpPr>
        <xdr:cNvPr id="409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9010000}"/>
            </a:ext>
            <a:ext uri="{147F2762-F138-4A5C-976F-8EAC2B608ADB}">
              <a16:predDERef xmlns:a16="http://schemas.microsoft.com/office/drawing/2014/main" pred="{FBE77F88-F990-4273-9901-2203EECA9303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171450</xdr:rowOff>
    </xdr:from>
    <xdr:to>
      <xdr:col>3</xdr:col>
      <xdr:colOff>76200</xdr:colOff>
      <xdr:row>84</xdr:row>
      <xdr:rowOff>9525</xdr:rowOff>
    </xdr:to>
    <xdr:sp macro="" textlink="">
      <xdr:nvSpPr>
        <xdr:cNvPr id="410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9A010000}"/>
            </a:ext>
            <a:ext uri="{147F2762-F138-4A5C-976F-8EAC2B608ADB}">
              <a16:predDERef xmlns:a16="http://schemas.microsoft.com/office/drawing/2014/main" pred="{5C2FFC44-A474-4342-BD4E-3BCEE5338E50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82</xdr:row>
      <xdr:rowOff>161925</xdr:rowOff>
    </xdr:from>
    <xdr:to>
      <xdr:col>3</xdr:col>
      <xdr:colOff>76200</xdr:colOff>
      <xdr:row>84</xdr:row>
      <xdr:rowOff>0</xdr:rowOff>
    </xdr:to>
    <xdr:sp macro="" textlink="">
      <xdr:nvSpPr>
        <xdr:cNvPr id="41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B010000}"/>
            </a:ext>
            <a:ext uri="{147F2762-F138-4A5C-976F-8EAC2B608ADB}">
              <a16:predDERef xmlns:a16="http://schemas.microsoft.com/office/drawing/2014/main" pred="{2D5C8E96-B617-4E13-9BF7-9AF435D5C9F8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82</xdr:row>
      <xdr:rowOff>161925</xdr:rowOff>
    </xdr:from>
    <xdr:to>
      <xdr:col>3</xdr:col>
      <xdr:colOff>85725</xdr:colOff>
      <xdr:row>84</xdr:row>
      <xdr:rowOff>0</xdr:rowOff>
    </xdr:to>
    <xdr:sp macro="" textlink="">
      <xdr:nvSpPr>
        <xdr:cNvPr id="41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C010000}"/>
            </a:ext>
            <a:ext uri="{147F2762-F138-4A5C-976F-8EAC2B608ADB}">
              <a16:predDERef xmlns:a16="http://schemas.microsoft.com/office/drawing/2014/main" pred="{2C17E042-B349-4495-874A-1379592772AC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161925</xdr:rowOff>
    </xdr:from>
    <xdr:to>
      <xdr:col>3</xdr:col>
      <xdr:colOff>76200</xdr:colOff>
      <xdr:row>85</xdr:row>
      <xdr:rowOff>0</xdr:rowOff>
    </xdr:to>
    <xdr:sp macro="" textlink="">
      <xdr:nvSpPr>
        <xdr:cNvPr id="41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D010000}"/>
            </a:ext>
            <a:ext uri="{147F2762-F138-4A5C-976F-8EAC2B608ADB}">
              <a16:predDERef xmlns:a16="http://schemas.microsoft.com/office/drawing/2014/main" pred="{B3F724A3-8579-43B0-9FC4-1AF8C070A628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161925</xdr:rowOff>
    </xdr:from>
    <xdr:to>
      <xdr:col>3</xdr:col>
      <xdr:colOff>76200</xdr:colOff>
      <xdr:row>85</xdr:row>
      <xdr:rowOff>0</xdr:rowOff>
    </xdr:to>
    <xdr:sp macro="" textlink="">
      <xdr:nvSpPr>
        <xdr:cNvPr id="414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9E010000}"/>
            </a:ext>
            <a:ext uri="{147F2762-F138-4A5C-976F-8EAC2B608ADB}">
              <a16:predDERef xmlns:a16="http://schemas.microsoft.com/office/drawing/2014/main" pred="{048283F8-8F96-4E03-AA2A-2D9FDB5AA545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83</xdr:row>
      <xdr:rowOff>161925</xdr:rowOff>
    </xdr:from>
    <xdr:to>
      <xdr:col>3</xdr:col>
      <xdr:colOff>85725</xdr:colOff>
      <xdr:row>85</xdr:row>
      <xdr:rowOff>0</xdr:rowOff>
    </xdr:to>
    <xdr:sp macro="" textlink="">
      <xdr:nvSpPr>
        <xdr:cNvPr id="415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9F010000}"/>
            </a:ext>
            <a:ext uri="{147F2762-F138-4A5C-976F-8EAC2B608ADB}">
              <a16:predDERef xmlns:a16="http://schemas.microsoft.com/office/drawing/2014/main" pred="{0928BFFB-2EBA-4EDF-BAFF-D7BF47993082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161925</xdr:rowOff>
    </xdr:from>
    <xdr:to>
      <xdr:col>3</xdr:col>
      <xdr:colOff>76200</xdr:colOff>
      <xdr:row>85</xdr:row>
      <xdr:rowOff>0</xdr:rowOff>
    </xdr:to>
    <xdr:sp macro="" textlink="">
      <xdr:nvSpPr>
        <xdr:cNvPr id="416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0010000}"/>
            </a:ext>
            <a:ext uri="{147F2762-F138-4A5C-976F-8EAC2B608ADB}">
              <a16:predDERef xmlns:a16="http://schemas.microsoft.com/office/drawing/2014/main" pred="{0B2CB26E-332C-44BD-AFAC-81A95B12657C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171450</xdr:rowOff>
    </xdr:from>
    <xdr:to>
      <xdr:col>3</xdr:col>
      <xdr:colOff>76200</xdr:colOff>
      <xdr:row>85</xdr:row>
      <xdr:rowOff>9525</xdr:rowOff>
    </xdr:to>
    <xdr:sp macro="" textlink="">
      <xdr:nvSpPr>
        <xdr:cNvPr id="417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A1010000}"/>
            </a:ext>
            <a:ext uri="{147F2762-F138-4A5C-976F-8EAC2B608ADB}">
              <a16:predDERef xmlns:a16="http://schemas.microsoft.com/office/drawing/2014/main" pred="{08559B6B-B035-4E8A-87A7-1E666485CA59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83</xdr:row>
      <xdr:rowOff>161925</xdr:rowOff>
    </xdr:from>
    <xdr:to>
      <xdr:col>3</xdr:col>
      <xdr:colOff>76200</xdr:colOff>
      <xdr:row>85</xdr:row>
      <xdr:rowOff>0</xdr:rowOff>
    </xdr:to>
    <xdr:sp macro="" textlink="">
      <xdr:nvSpPr>
        <xdr:cNvPr id="418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2010000}"/>
            </a:ext>
            <a:ext uri="{147F2762-F138-4A5C-976F-8EAC2B608ADB}">
              <a16:predDERef xmlns:a16="http://schemas.microsoft.com/office/drawing/2014/main" pred="{9230DDCE-E48C-4439-BC47-BF56C6DD3B6F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83</xdr:row>
      <xdr:rowOff>161925</xdr:rowOff>
    </xdr:from>
    <xdr:to>
      <xdr:col>3</xdr:col>
      <xdr:colOff>85725</xdr:colOff>
      <xdr:row>85</xdr:row>
      <xdr:rowOff>0</xdr:rowOff>
    </xdr:to>
    <xdr:sp macro="" textlink="">
      <xdr:nvSpPr>
        <xdr:cNvPr id="419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3010000}"/>
            </a:ext>
            <a:ext uri="{147F2762-F138-4A5C-976F-8EAC2B608ADB}">
              <a16:predDERef xmlns:a16="http://schemas.microsoft.com/office/drawing/2014/main" pred="{DDE82ACB-9BBE-4FFB-98DD-F400EABE0E77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161925</xdr:rowOff>
    </xdr:from>
    <xdr:to>
      <xdr:col>3</xdr:col>
      <xdr:colOff>76200</xdr:colOff>
      <xdr:row>86</xdr:row>
      <xdr:rowOff>0</xdr:rowOff>
    </xdr:to>
    <xdr:sp macro="" textlink="">
      <xdr:nvSpPr>
        <xdr:cNvPr id="420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4010000}"/>
            </a:ext>
            <a:ext uri="{147F2762-F138-4A5C-976F-8EAC2B608ADB}">
              <a16:predDERef xmlns:a16="http://schemas.microsoft.com/office/drawing/2014/main" pred="{93D67724-97B3-4A2E-AE8B-8BB1F81E0D68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161925</xdr:rowOff>
    </xdr:from>
    <xdr:to>
      <xdr:col>3</xdr:col>
      <xdr:colOff>76200</xdr:colOff>
      <xdr:row>86</xdr:row>
      <xdr:rowOff>0</xdr:rowOff>
    </xdr:to>
    <xdr:sp macro="" textlink="">
      <xdr:nvSpPr>
        <xdr:cNvPr id="421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5010000}"/>
            </a:ext>
            <a:ext uri="{147F2762-F138-4A5C-976F-8EAC2B608ADB}">
              <a16:predDERef xmlns:a16="http://schemas.microsoft.com/office/drawing/2014/main" pred="{4F33EA82-50BF-40D4-ABF0-AD7D9562EB26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84</xdr:row>
      <xdr:rowOff>161925</xdr:rowOff>
    </xdr:from>
    <xdr:to>
      <xdr:col>3</xdr:col>
      <xdr:colOff>85725</xdr:colOff>
      <xdr:row>86</xdr:row>
      <xdr:rowOff>0</xdr:rowOff>
    </xdr:to>
    <xdr:sp macro="" textlink="">
      <xdr:nvSpPr>
        <xdr:cNvPr id="422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6010000}"/>
            </a:ext>
            <a:ext uri="{147F2762-F138-4A5C-976F-8EAC2B608ADB}">
              <a16:predDERef xmlns:a16="http://schemas.microsoft.com/office/drawing/2014/main" pred="{5FB310E8-6668-4534-91B5-7B10D81C4C61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161925</xdr:rowOff>
    </xdr:from>
    <xdr:to>
      <xdr:col>3</xdr:col>
      <xdr:colOff>76200</xdr:colOff>
      <xdr:row>86</xdr:row>
      <xdr:rowOff>0</xdr:rowOff>
    </xdr:to>
    <xdr:sp macro="" textlink="">
      <xdr:nvSpPr>
        <xdr:cNvPr id="423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7010000}"/>
            </a:ext>
            <a:ext uri="{147F2762-F138-4A5C-976F-8EAC2B608ADB}">
              <a16:predDERef xmlns:a16="http://schemas.microsoft.com/office/drawing/2014/main" pred="{E676357A-19F4-40FA-8121-0ECA180B4F33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171450</xdr:rowOff>
    </xdr:from>
    <xdr:to>
      <xdr:col>3</xdr:col>
      <xdr:colOff>76200</xdr:colOff>
      <xdr:row>86</xdr:row>
      <xdr:rowOff>9525</xdr:rowOff>
    </xdr:to>
    <xdr:sp macro="" textlink="">
      <xdr:nvSpPr>
        <xdr:cNvPr id="424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300-0000A8010000}"/>
            </a:ext>
            <a:ext uri="{147F2762-F138-4A5C-976F-8EAC2B608ADB}">
              <a16:predDERef xmlns:a16="http://schemas.microsoft.com/office/drawing/2014/main" pred="{8F9D0E6F-91BA-4322-AB52-1D5D5B69472B}"/>
            </a:ext>
          </a:extLst>
        </xdr:cNvPr>
        <xdr:cNvSpPr/>
      </xdr:nvSpPr>
      <xdr:spPr bwMode="auto">
        <a:xfrm>
          <a:off x="1028700" y="14687550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84</xdr:row>
      <xdr:rowOff>161925</xdr:rowOff>
    </xdr:from>
    <xdr:to>
      <xdr:col>3</xdr:col>
      <xdr:colOff>76200</xdr:colOff>
      <xdr:row>86</xdr:row>
      <xdr:rowOff>0</xdr:rowOff>
    </xdr:to>
    <xdr:sp macro="" textlink="">
      <xdr:nvSpPr>
        <xdr:cNvPr id="42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9010000}"/>
            </a:ext>
            <a:ext uri="{147F2762-F138-4A5C-976F-8EAC2B608ADB}">
              <a16:predDERef xmlns:a16="http://schemas.microsoft.com/office/drawing/2014/main" pred="{606BE822-D114-4C51-A8C5-1F3236BB0973}"/>
            </a:ext>
          </a:extLst>
        </xdr:cNvPr>
        <xdr:cNvSpPr/>
      </xdr:nvSpPr>
      <xdr:spPr bwMode="auto">
        <a:xfrm>
          <a:off x="1028700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84</xdr:row>
      <xdr:rowOff>161925</xdr:rowOff>
    </xdr:from>
    <xdr:to>
      <xdr:col>3</xdr:col>
      <xdr:colOff>85725</xdr:colOff>
      <xdr:row>86</xdr:row>
      <xdr:rowOff>0</xdr:rowOff>
    </xdr:to>
    <xdr:sp macro="" textlink="">
      <xdr:nvSpPr>
        <xdr:cNvPr id="426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A010000}"/>
            </a:ext>
            <a:ext uri="{147F2762-F138-4A5C-976F-8EAC2B608ADB}">
              <a16:predDERef xmlns:a16="http://schemas.microsoft.com/office/drawing/2014/main" pred="{18677DC2-7FBA-4092-8284-C57FA9BD2502}"/>
            </a:ext>
          </a:extLst>
        </xdr:cNvPr>
        <xdr:cNvSpPr/>
      </xdr:nvSpPr>
      <xdr:spPr bwMode="auto">
        <a:xfrm>
          <a:off x="1038225" y="146780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85</xdr:row>
      <xdr:rowOff>161925</xdr:rowOff>
    </xdr:from>
    <xdr:to>
      <xdr:col>3</xdr:col>
      <xdr:colOff>76200</xdr:colOff>
      <xdr:row>87</xdr:row>
      <xdr:rowOff>0</xdr:rowOff>
    </xdr:to>
    <xdr:sp macro="" textlink="">
      <xdr:nvSpPr>
        <xdr:cNvPr id="427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B010000}"/>
            </a:ext>
            <a:ext uri="{147F2762-F138-4A5C-976F-8EAC2B608ADB}">
              <a16:predDERef xmlns:a16="http://schemas.microsoft.com/office/drawing/2014/main" pred="{E142E46A-44C2-4FA8-8581-150EB43FF37C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85</xdr:row>
      <xdr:rowOff>161925</xdr:rowOff>
    </xdr:from>
    <xdr:to>
      <xdr:col>3</xdr:col>
      <xdr:colOff>76200</xdr:colOff>
      <xdr:row>87</xdr:row>
      <xdr:rowOff>0</xdr:rowOff>
    </xdr:to>
    <xdr:sp macro="" textlink="">
      <xdr:nvSpPr>
        <xdr:cNvPr id="428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300-0000AC010000}"/>
            </a:ext>
            <a:ext uri="{147F2762-F138-4A5C-976F-8EAC2B608ADB}">
              <a16:predDERef xmlns:a16="http://schemas.microsoft.com/office/drawing/2014/main" pred="{94BE8A18-18E2-4190-A630-6BFCB6EAC25A}"/>
            </a:ext>
          </a:extLst>
        </xdr:cNvPr>
        <xdr:cNvSpPr/>
      </xdr:nvSpPr>
      <xdr:spPr bwMode="auto">
        <a:xfrm>
          <a:off x="1028700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28575</xdr:colOff>
      <xdr:row>85</xdr:row>
      <xdr:rowOff>161925</xdr:rowOff>
    </xdr:from>
    <xdr:to>
      <xdr:col>3</xdr:col>
      <xdr:colOff>85725</xdr:colOff>
      <xdr:row>87</xdr:row>
      <xdr:rowOff>0</xdr:rowOff>
    </xdr:to>
    <xdr:sp macro="" textlink="">
      <xdr:nvSpPr>
        <xdr:cNvPr id="429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300-0000AD010000}"/>
            </a:ext>
            <a:ext uri="{147F2762-F138-4A5C-976F-8EAC2B608ADB}">
              <a16:predDERef xmlns:a16="http://schemas.microsoft.com/office/drawing/2014/main" pred="{06F6688A-D57A-44D2-BA98-F4EA5509E489}"/>
            </a:ext>
          </a:extLst>
        </xdr:cNvPr>
        <xdr:cNvSpPr/>
      </xdr:nvSpPr>
      <xdr:spPr bwMode="auto">
        <a:xfrm>
          <a:off x="1038225" y="14868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22</xdr:row>
      <xdr:rowOff>161925</xdr:rowOff>
    </xdr:from>
    <xdr:to>
      <xdr:col>7</xdr:col>
      <xdr:colOff>66675</xdr:colOff>
      <xdr:row>24</xdr:row>
      <xdr:rowOff>0</xdr:rowOff>
    </xdr:to>
    <xdr:sp macro="" textlink="">
      <xdr:nvSpPr>
        <xdr:cNvPr id="43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E01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23</xdr:row>
      <xdr:rowOff>161925</xdr:rowOff>
    </xdr:from>
    <xdr:to>
      <xdr:col>7</xdr:col>
      <xdr:colOff>66675</xdr:colOff>
      <xdr:row>25</xdr:row>
      <xdr:rowOff>0</xdr:rowOff>
    </xdr:to>
    <xdr:sp macro="" textlink="">
      <xdr:nvSpPr>
        <xdr:cNvPr id="43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F01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24</xdr:row>
      <xdr:rowOff>161925</xdr:rowOff>
    </xdr:from>
    <xdr:to>
      <xdr:col>7</xdr:col>
      <xdr:colOff>66675</xdr:colOff>
      <xdr:row>26</xdr:row>
      <xdr:rowOff>0</xdr:rowOff>
    </xdr:to>
    <xdr:sp macro="" textlink="">
      <xdr:nvSpPr>
        <xdr:cNvPr id="43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0010000}"/>
            </a:ext>
            <a:ext uri="{147F2762-F138-4A5C-976F-8EAC2B608ADB}">
              <a16:predDERef xmlns:a16="http://schemas.microsoft.com/office/drawing/2014/main" pred="{EFFD369C-ECC3-441A-A96D-9BF32ADCA179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25</xdr:row>
      <xdr:rowOff>161925</xdr:rowOff>
    </xdr:from>
    <xdr:to>
      <xdr:col>7</xdr:col>
      <xdr:colOff>66675</xdr:colOff>
      <xdr:row>27</xdr:row>
      <xdr:rowOff>0</xdr:rowOff>
    </xdr:to>
    <xdr:sp macro="" textlink="">
      <xdr:nvSpPr>
        <xdr:cNvPr id="43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1010000}"/>
            </a:ext>
            <a:ext uri="{147F2762-F138-4A5C-976F-8EAC2B608ADB}">
              <a16:predDERef xmlns:a16="http://schemas.microsoft.com/office/drawing/2014/main" pred="{06727846-2BA2-4170-948F-76BC3B7F88C9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26</xdr:row>
      <xdr:rowOff>161925</xdr:rowOff>
    </xdr:from>
    <xdr:to>
      <xdr:col>7</xdr:col>
      <xdr:colOff>66675</xdr:colOff>
      <xdr:row>28</xdr:row>
      <xdr:rowOff>0</xdr:rowOff>
    </xdr:to>
    <xdr:sp macro="" textlink="">
      <xdr:nvSpPr>
        <xdr:cNvPr id="43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2010000}"/>
            </a:ext>
            <a:ext uri="{147F2762-F138-4A5C-976F-8EAC2B608ADB}">
              <a16:predDERef xmlns:a16="http://schemas.microsoft.com/office/drawing/2014/main" pred="{3559F23A-AD56-462A-BD0A-314AC4D2C6A0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27</xdr:row>
      <xdr:rowOff>161925</xdr:rowOff>
    </xdr:from>
    <xdr:to>
      <xdr:col>7</xdr:col>
      <xdr:colOff>66675</xdr:colOff>
      <xdr:row>29</xdr:row>
      <xdr:rowOff>0</xdr:rowOff>
    </xdr:to>
    <xdr:sp macro="" textlink="">
      <xdr:nvSpPr>
        <xdr:cNvPr id="43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3010000}"/>
            </a:ext>
            <a:ext uri="{147F2762-F138-4A5C-976F-8EAC2B608ADB}">
              <a16:predDERef xmlns:a16="http://schemas.microsoft.com/office/drawing/2014/main" pred="{5CCB4495-3669-4B47-AEE0-4B52CF8E2EFB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28</xdr:row>
      <xdr:rowOff>161925</xdr:rowOff>
    </xdr:from>
    <xdr:to>
      <xdr:col>7</xdr:col>
      <xdr:colOff>66675</xdr:colOff>
      <xdr:row>30</xdr:row>
      <xdr:rowOff>0</xdr:rowOff>
    </xdr:to>
    <xdr:sp macro="" textlink="">
      <xdr:nvSpPr>
        <xdr:cNvPr id="43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401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29</xdr:row>
      <xdr:rowOff>161925</xdr:rowOff>
    </xdr:from>
    <xdr:to>
      <xdr:col>7</xdr:col>
      <xdr:colOff>66675</xdr:colOff>
      <xdr:row>31</xdr:row>
      <xdr:rowOff>0</xdr:rowOff>
    </xdr:to>
    <xdr:sp macro="" textlink="">
      <xdr:nvSpPr>
        <xdr:cNvPr id="43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501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30</xdr:row>
      <xdr:rowOff>161925</xdr:rowOff>
    </xdr:from>
    <xdr:to>
      <xdr:col>7</xdr:col>
      <xdr:colOff>66675</xdr:colOff>
      <xdr:row>32</xdr:row>
      <xdr:rowOff>0</xdr:rowOff>
    </xdr:to>
    <xdr:sp macro="" textlink="">
      <xdr:nvSpPr>
        <xdr:cNvPr id="43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601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31</xdr:row>
      <xdr:rowOff>161925</xdr:rowOff>
    </xdr:from>
    <xdr:to>
      <xdr:col>7</xdr:col>
      <xdr:colOff>66675</xdr:colOff>
      <xdr:row>33</xdr:row>
      <xdr:rowOff>0</xdr:rowOff>
    </xdr:to>
    <xdr:sp macro="" textlink="">
      <xdr:nvSpPr>
        <xdr:cNvPr id="43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7010000}"/>
            </a:ext>
            <a:ext uri="{147F2762-F138-4A5C-976F-8EAC2B608ADB}">
              <a16:predDERef xmlns:a16="http://schemas.microsoft.com/office/drawing/2014/main" pred="{B6ACF394-ED75-4AB8-A02D-0D1F95546883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32</xdr:row>
      <xdr:rowOff>161925</xdr:rowOff>
    </xdr:from>
    <xdr:to>
      <xdr:col>7</xdr:col>
      <xdr:colOff>66675</xdr:colOff>
      <xdr:row>34</xdr:row>
      <xdr:rowOff>0</xdr:rowOff>
    </xdr:to>
    <xdr:sp macro="" textlink="">
      <xdr:nvSpPr>
        <xdr:cNvPr id="44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8010000}"/>
            </a:ext>
            <a:ext uri="{147F2762-F138-4A5C-976F-8EAC2B608ADB}">
              <a16:predDERef xmlns:a16="http://schemas.microsoft.com/office/drawing/2014/main" pred="{36C4FC48-DB70-44E9-9359-EDB164F42A86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33</xdr:row>
      <xdr:rowOff>161925</xdr:rowOff>
    </xdr:from>
    <xdr:to>
      <xdr:col>7</xdr:col>
      <xdr:colOff>66675</xdr:colOff>
      <xdr:row>35</xdr:row>
      <xdr:rowOff>0</xdr:rowOff>
    </xdr:to>
    <xdr:sp macro="" textlink="">
      <xdr:nvSpPr>
        <xdr:cNvPr id="44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9010000}"/>
            </a:ext>
            <a:ext uri="{147F2762-F138-4A5C-976F-8EAC2B608ADB}">
              <a16:predDERef xmlns:a16="http://schemas.microsoft.com/office/drawing/2014/main" pred="{6541170D-8668-4BE9-A7CB-87083AD56FAE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34</xdr:row>
      <xdr:rowOff>161925</xdr:rowOff>
    </xdr:from>
    <xdr:to>
      <xdr:col>7</xdr:col>
      <xdr:colOff>66675</xdr:colOff>
      <xdr:row>36</xdr:row>
      <xdr:rowOff>0</xdr:rowOff>
    </xdr:to>
    <xdr:sp macro="" textlink="">
      <xdr:nvSpPr>
        <xdr:cNvPr id="44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A010000}"/>
            </a:ext>
            <a:ext uri="{147F2762-F138-4A5C-976F-8EAC2B608ADB}">
              <a16:predDERef xmlns:a16="http://schemas.microsoft.com/office/drawing/2014/main" pred="{2AB13135-E1FC-4B55-88BD-DA46929769A1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35</xdr:row>
      <xdr:rowOff>161925</xdr:rowOff>
    </xdr:from>
    <xdr:to>
      <xdr:col>7</xdr:col>
      <xdr:colOff>66675</xdr:colOff>
      <xdr:row>37</xdr:row>
      <xdr:rowOff>0</xdr:rowOff>
    </xdr:to>
    <xdr:sp macro="" textlink="">
      <xdr:nvSpPr>
        <xdr:cNvPr id="44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B010000}"/>
            </a:ext>
            <a:ext uri="{147F2762-F138-4A5C-976F-8EAC2B608ADB}">
              <a16:predDERef xmlns:a16="http://schemas.microsoft.com/office/drawing/2014/main" pred="{EE9F1BFA-EE99-4241-8F23-25D28DBF846F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36</xdr:row>
      <xdr:rowOff>161925</xdr:rowOff>
    </xdr:from>
    <xdr:to>
      <xdr:col>7</xdr:col>
      <xdr:colOff>66675</xdr:colOff>
      <xdr:row>38</xdr:row>
      <xdr:rowOff>0</xdr:rowOff>
    </xdr:to>
    <xdr:sp macro="" textlink="">
      <xdr:nvSpPr>
        <xdr:cNvPr id="44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C010000}"/>
            </a:ext>
            <a:ext uri="{147F2762-F138-4A5C-976F-8EAC2B608ADB}">
              <a16:predDERef xmlns:a16="http://schemas.microsoft.com/office/drawing/2014/main" pred="{5A45B54B-88CF-4808-91EC-3A59742D41B3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37</xdr:row>
      <xdr:rowOff>161925</xdr:rowOff>
    </xdr:from>
    <xdr:to>
      <xdr:col>7</xdr:col>
      <xdr:colOff>66675</xdr:colOff>
      <xdr:row>39</xdr:row>
      <xdr:rowOff>0</xdr:rowOff>
    </xdr:to>
    <xdr:sp macro="" textlink="">
      <xdr:nvSpPr>
        <xdr:cNvPr id="44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D010000}"/>
            </a:ext>
            <a:ext uri="{147F2762-F138-4A5C-976F-8EAC2B608ADB}">
              <a16:predDERef xmlns:a16="http://schemas.microsoft.com/office/drawing/2014/main" pred="{C3D5635E-FD4E-48DB-95C1-D98CF26E8895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38</xdr:row>
      <xdr:rowOff>161925</xdr:rowOff>
    </xdr:from>
    <xdr:to>
      <xdr:col>7</xdr:col>
      <xdr:colOff>66675</xdr:colOff>
      <xdr:row>40</xdr:row>
      <xdr:rowOff>0</xdr:rowOff>
    </xdr:to>
    <xdr:sp macro="" textlink="">
      <xdr:nvSpPr>
        <xdr:cNvPr id="44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E010000}"/>
            </a:ext>
            <a:ext uri="{147F2762-F138-4A5C-976F-8EAC2B608ADB}">
              <a16:predDERef xmlns:a16="http://schemas.microsoft.com/office/drawing/2014/main" pred="{3EE50B66-3282-4CA1-8CA8-307EBE3B8AD1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39</xdr:row>
      <xdr:rowOff>161925</xdr:rowOff>
    </xdr:from>
    <xdr:to>
      <xdr:col>7</xdr:col>
      <xdr:colOff>66675</xdr:colOff>
      <xdr:row>41</xdr:row>
      <xdr:rowOff>0</xdr:rowOff>
    </xdr:to>
    <xdr:sp macro="" textlink="">
      <xdr:nvSpPr>
        <xdr:cNvPr id="44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F010000}"/>
            </a:ext>
            <a:ext uri="{147F2762-F138-4A5C-976F-8EAC2B608ADB}">
              <a16:predDERef xmlns:a16="http://schemas.microsoft.com/office/drawing/2014/main" pred="{6D50F0D1-A69F-49D2-B826-4991871F98F0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40</xdr:row>
      <xdr:rowOff>161925</xdr:rowOff>
    </xdr:from>
    <xdr:to>
      <xdr:col>7</xdr:col>
      <xdr:colOff>66675</xdr:colOff>
      <xdr:row>42</xdr:row>
      <xdr:rowOff>0</xdr:rowOff>
    </xdr:to>
    <xdr:sp macro="" textlink="">
      <xdr:nvSpPr>
        <xdr:cNvPr id="44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0010000}"/>
            </a:ext>
            <a:ext uri="{147F2762-F138-4A5C-976F-8EAC2B608ADB}">
              <a16:predDERef xmlns:a16="http://schemas.microsoft.com/office/drawing/2014/main" pred="{2756A411-8F36-480E-9184-E7A5DE21BADE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41</xdr:row>
      <xdr:rowOff>161925</xdr:rowOff>
    </xdr:from>
    <xdr:to>
      <xdr:col>7</xdr:col>
      <xdr:colOff>66675</xdr:colOff>
      <xdr:row>43</xdr:row>
      <xdr:rowOff>0</xdr:rowOff>
    </xdr:to>
    <xdr:sp macro="" textlink="">
      <xdr:nvSpPr>
        <xdr:cNvPr id="44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1010000}"/>
            </a:ext>
            <a:ext uri="{147F2762-F138-4A5C-976F-8EAC2B608ADB}">
              <a16:predDERef xmlns:a16="http://schemas.microsoft.com/office/drawing/2014/main" pred="{80F79940-D4D2-4D41-B700-8C671A15894A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42</xdr:row>
      <xdr:rowOff>161925</xdr:rowOff>
    </xdr:from>
    <xdr:to>
      <xdr:col>7</xdr:col>
      <xdr:colOff>66675</xdr:colOff>
      <xdr:row>44</xdr:row>
      <xdr:rowOff>0</xdr:rowOff>
    </xdr:to>
    <xdr:sp macro="" textlink="">
      <xdr:nvSpPr>
        <xdr:cNvPr id="45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2010000}"/>
            </a:ext>
            <a:ext uri="{147F2762-F138-4A5C-976F-8EAC2B608ADB}">
              <a16:predDERef xmlns:a16="http://schemas.microsoft.com/office/drawing/2014/main" pred="{D2669138-003B-48D7-8E48-6804326696F8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43</xdr:row>
      <xdr:rowOff>161925</xdr:rowOff>
    </xdr:from>
    <xdr:to>
      <xdr:col>7</xdr:col>
      <xdr:colOff>66675</xdr:colOff>
      <xdr:row>45</xdr:row>
      <xdr:rowOff>0</xdr:rowOff>
    </xdr:to>
    <xdr:sp macro="" textlink="">
      <xdr:nvSpPr>
        <xdr:cNvPr id="45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3010000}"/>
            </a:ext>
            <a:ext uri="{147F2762-F138-4A5C-976F-8EAC2B608ADB}">
              <a16:predDERef xmlns:a16="http://schemas.microsoft.com/office/drawing/2014/main" pred="{D0123E43-2162-45D9-A969-C12A8943281E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44</xdr:row>
      <xdr:rowOff>161925</xdr:rowOff>
    </xdr:from>
    <xdr:to>
      <xdr:col>7</xdr:col>
      <xdr:colOff>66675</xdr:colOff>
      <xdr:row>46</xdr:row>
      <xdr:rowOff>0</xdr:rowOff>
    </xdr:to>
    <xdr:sp macro="" textlink="">
      <xdr:nvSpPr>
        <xdr:cNvPr id="45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4010000}"/>
            </a:ext>
            <a:ext uri="{147F2762-F138-4A5C-976F-8EAC2B608ADB}">
              <a16:predDERef xmlns:a16="http://schemas.microsoft.com/office/drawing/2014/main" pred="{78BF3F68-1C70-4668-B76B-18D61F6BFC41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45</xdr:row>
      <xdr:rowOff>161925</xdr:rowOff>
    </xdr:from>
    <xdr:to>
      <xdr:col>7</xdr:col>
      <xdr:colOff>66675</xdr:colOff>
      <xdr:row>47</xdr:row>
      <xdr:rowOff>0</xdr:rowOff>
    </xdr:to>
    <xdr:sp macro="" textlink="">
      <xdr:nvSpPr>
        <xdr:cNvPr id="45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5010000}"/>
            </a:ext>
            <a:ext uri="{147F2762-F138-4A5C-976F-8EAC2B608ADB}">
              <a16:predDERef xmlns:a16="http://schemas.microsoft.com/office/drawing/2014/main" pred="{832CC8C1-9C1D-46DD-8D6D-8507EF8316B7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46</xdr:row>
      <xdr:rowOff>161925</xdr:rowOff>
    </xdr:from>
    <xdr:to>
      <xdr:col>7</xdr:col>
      <xdr:colOff>66675</xdr:colOff>
      <xdr:row>48</xdr:row>
      <xdr:rowOff>0</xdr:rowOff>
    </xdr:to>
    <xdr:sp macro="" textlink="">
      <xdr:nvSpPr>
        <xdr:cNvPr id="45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6010000}"/>
            </a:ext>
            <a:ext uri="{147F2762-F138-4A5C-976F-8EAC2B608ADB}">
              <a16:predDERef xmlns:a16="http://schemas.microsoft.com/office/drawing/2014/main" pred="{F9D6E68C-D709-412A-8CB0-8ED53A775DB6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47</xdr:row>
      <xdr:rowOff>161925</xdr:rowOff>
    </xdr:from>
    <xdr:to>
      <xdr:col>7</xdr:col>
      <xdr:colOff>66675</xdr:colOff>
      <xdr:row>49</xdr:row>
      <xdr:rowOff>0</xdr:rowOff>
    </xdr:to>
    <xdr:sp macro="" textlink="">
      <xdr:nvSpPr>
        <xdr:cNvPr id="45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7010000}"/>
            </a:ext>
            <a:ext uri="{147F2762-F138-4A5C-976F-8EAC2B608ADB}">
              <a16:predDERef xmlns:a16="http://schemas.microsoft.com/office/drawing/2014/main" pred="{AFB688D3-D061-48C0-83C2-B8DA287C6F0C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48</xdr:row>
      <xdr:rowOff>161925</xdr:rowOff>
    </xdr:from>
    <xdr:to>
      <xdr:col>7</xdr:col>
      <xdr:colOff>66675</xdr:colOff>
      <xdr:row>50</xdr:row>
      <xdr:rowOff>0</xdr:rowOff>
    </xdr:to>
    <xdr:sp macro="" textlink="">
      <xdr:nvSpPr>
        <xdr:cNvPr id="45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8010000}"/>
            </a:ext>
            <a:ext uri="{147F2762-F138-4A5C-976F-8EAC2B608ADB}">
              <a16:predDERef xmlns:a16="http://schemas.microsoft.com/office/drawing/2014/main" pred="{3FA0DBA0-B6BE-40BC-A813-9B4680202FE3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49</xdr:row>
      <xdr:rowOff>161925</xdr:rowOff>
    </xdr:from>
    <xdr:to>
      <xdr:col>7</xdr:col>
      <xdr:colOff>66675</xdr:colOff>
      <xdr:row>51</xdr:row>
      <xdr:rowOff>0</xdr:rowOff>
    </xdr:to>
    <xdr:sp macro="" textlink="">
      <xdr:nvSpPr>
        <xdr:cNvPr id="45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9010000}"/>
            </a:ext>
            <a:ext uri="{147F2762-F138-4A5C-976F-8EAC2B608ADB}">
              <a16:predDERef xmlns:a16="http://schemas.microsoft.com/office/drawing/2014/main" pred="{51F8C13E-CC42-475E-B51F-BE0E7141ADEF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50</xdr:row>
      <xdr:rowOff>161925</xdr:rowOff>
    </xdr:from>
    <xdr:to>
      <xdr:col>7</xdr:col>
      <xdr:colOff>66675</xdr:colOff>
      <xdr:row>52</xdr:row>
      <xdr:rowOff>0</xdr:rowOff>
    </xdr:to>
    <xdr:sp macro="" textlink="">
      <xdr:nvSpPr>
        <xdr:cNvPr id="45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A010000}"/>
            </a:ext>
            <a:ext uri="{147F2762-F138-4A5C-976F-8EAC2B608ADB}">
              <a16:predDERef xmlns:a16="http://schemas.microsoft.com/office/drawing/2014/main" pred="{FB334EE1-1DE6-4797-945F-FFB737B455A9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51</xdr:row>
      <xdr:rowOff>161925</xdr:rowOff>
    </xdr:from>
    <xdr:to>
      <xdr:col>7</xdr:col>
      <xdr:colOff>66675</xdr:colOff>
      <xdr:row>53</xdr:row>
      <xdr:rowOff>0</xdr:rowOff>
    </xdr:to>
    <xdr:sp macro="" textlink="">
      <xdr:nvSpPr>
        <xdr:cNvPr id="45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B010000}"/>
            </a:ext>
            <a:ext uri="{147F2762-F138-4A5C-976F-8EAC2B608ADB}">
              <a16:predDERef xmlns:a16="http://schemas.microsoft.com/office/drawing/2014/main" pred="{BFAF25DF-A2ED-4E9F-AD1F-2CB20DAA5CE8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52</xdr:row>
      <xdr:rowOff>161925</xdr:rowOff>
    </xdr:from>
    <xdr:to>
      <xdr:col>7</xdr:col>
      <xdr:colOff>66675</xdr:colOff>
      <xdr:row>54</xdr:row>
      <xdr:rowOff>0</xdr:rowOff>
    </xdr:to>
    <xdr:sp macro="" textlink="">
      <xdr:nvSpPr>
        <xdr:cNvPr id="46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C010000}"/>
            </a:ext>
            <a:ext uri="{147F2762-F138-4A5C-976F-8EAC2B608ADB}">
              <a16:predDERef xmlns:a16="http://schemas.microsoft.com/office/drawing/2014/main" pred="{82F96A61-0395-4737-9CC8-1522A90783ED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53</xdr:row>
      <xdr:rowOff>161925</xdr:rowOff>
    </xdr:from>
    <xdr:to>
      <xdr:col>7</xdr:col>
      <xdr:colOff>66675</xdr:colOff>
      <xdr:row>55</xdr:row>
      <xdr:rowOff>0</xdr:rowOff>
    </xdr:to>
    <xdr:sp macro="" textlink="">
      <xdr:nvSpPr>
        <xdr:cNvPr id="46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D010000}"/>
            </a:ext>
            <a:ext uri="{147F2762-F138-4A5C-976F-8EAC2B608ADB}">
              <a16:predDERef xmlns:a16="http://schemas.microsoft.com/office/drawing/2014/main" pred="{3250F1F3-CBBA-41F5-B0BD-C73A257FE00F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54</xdr:row>
      <xdr:rowOff>161925</xdr:rowOff>
    </xdr:from>
    <xdr:to>
      <xdr:col>7</xdr:col>
      <xdr:colOff>66675</xdr:colOff>
      <xdr:row>56</xdr:row>
      <xdr:rowOff>0</xdr:rowOff>
    </xdr:to>
    <xdr:sp macro="" textlink="">
      <xdr:nvSpPr>
        <xdr:cNvPr id="46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E010000}"/>
            </a:ext>
            <a:ext uri="{147F2762-F138-4A5C-976F-8EAC2B608ADB}">
              <a16:predDERef xmlns:a16="http://schemas.microsoft.com/office/drawing/2014/main" pred="{253CC86B-9932-4031-850D-C872A7DAC97B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55</xdr:row>
      <xdr:rowOff>161925</xdr:rowOff>
    </xdr:from>
    <xdr:to>
      <xdr:col>7</xdr:col>
      <xdr:colOff>66675</xdr:colOff>
      <xdr:row>57</xdr:row>
      <xdr:rowOff>0</xdr:rowOff>
    </xdr:to>
    <xdr:sp macro="" textlink="">
      <xdr:nvSpPr>
        <xdr:cNvPr id="46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F010000}"/>
            </a:ext>
            <a:ext uri="{147F2762-F138-4A5C-976F-8EAC2B608ADB}">
              <a16:predDERef xmlns:a16="http://schemas.microsoft.com/office/drawing/2014/main" pred="{6A6A6070-3587-44B4-AD8D-F65EADBF2847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56</xdr:row>
      <xdr:rowOff>161925</xdr:rowOff>
    </xdr:from>
    <xdr:to>
      <xdr:col>7</xdr:col>
      <xdr:colOff>66675</xdr:colOff>
      <xdr:row>58</xdr:row>
      <xdr:rowOff>0</xdr:rowOff>
    </xdr:to>
    <xdr:sp macro="" textlink="">
      <xdr:nvSpPr>
        <xdr:cNvPr id="46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0010000}"/>
            </a:ext>
            <a:ext uri="{147F2762-F138-4A5C-976F-8EAC2B608ADB}">
              <a16:predDERef xmlns:a16="http://schemas.microsoft.com/office/drawing/2014/main" pred="{D2A68938-04E9-4DC9-8238-812F7249D685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57</xdr:row>
      <xdr:rowOff>161925</xdr:rowOff>
    </xdr:from>
    <xdr:to>
      <xdr:col>7</xdr:col>
      <xdr:colOff>66675</xdr:colOff>
      <xdr:row>59</xdr:row>
      <xdr:rowOff>0</xdr:rowOff>
    </xdr:to>
    <xdr:sp macro="" textlink="">
      <xdr:nvSpPr>
        <xdr:cNvPr id="46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1010000}"/>
            </a:ext>
            <a:ext uri="{147F2762-F138-4A5C-976F-8EAC2B608ADB}">
              <a16:predDERef xmlns:a16="http://schemas.microsoft.com/office/drawing/2014/main" pred="{65DE8469-1D46-4553-8CBC-CE23C281E77E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58</xdr:row>
      <xdr:rowOff>161925</xdr:rowOff>
    </xdr:from>
    <xdr:to>
      <xdr:col>7</xdr:col>
      <xdr:colOff>66675</xdr:colOff>
      <xdr:row>60</xdr:row>
      <xdr:rowOff>0</xdr:rowOff>
    </xdr:to>
    <xdr:sp macro="" textlink="">
      <xdr:nvSpPr>
        <xdr:cNvPr id="46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2010000}"/>
            </a:ext>
            <a:ext uri="{147F2762-F138-4A5C-976F-8EAC2B608ADB}">
              <a16:predDERef xmlns:a16="http://schemas.microsoft.com/office/drawing/2014/main" pred="{4F520520-2C8A-479A-8207-D344498B6CBD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59</xdr:row>
      <xdr:rowOff>161925</xdr:rowOff>
    </xdr:from>
    <xdr:to>
      <xdr:col>7</xdr:col>
      <xdr:colOff>66675</xdr:colOff>
      <xdr:row>61</xdr:row>
      <xdr:rowOff>0</xdr:rowOff>
    </xdr:to>
    <xdr:sp macro="" textlink="">
      <xdr:nvSpPr>
        <xdr:cNvPr id="46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3010000}"/>
            </a:ext>
            <a:ext uri="{147F2762-F138-4A5C-976F-8EAC2B608ADB}">
              <a16:predDERef xmlns:a16="http://schemas.microsoft.com/office/drawing/2014/main" pred="{6F1479D6-74F3-445E-91C9-FCEBCB84699D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60</xdr:row>
      <xdr:rowOff>161925</xdr:rowOff>
    </xdr:from>
    <xdr:to>
      <xdr:col>7</xdr:col>
      <xdr:colOff>66675</xdr:colOff>
      <xdr:row>62</xdr:row>
      <xdr:rowOff>0</xdr:rowOff>
    </xdr:to>
    <xdr:sp macro="" textlink="">
      <xdr:nvSpPr>
        <xdr:cNvPr id="46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4010000}"/>
            </a:ext>
            <a:ext uri="{147F2762-F138-4A5C-976F-8EAC2B608ADB}">
              <a16:predDERef xmlns:a16="http://schemas.microsoft.com/office/drawing/2014/main" pred="{C81AB44A-25F4-4094-9BC6-382E267330CC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61</xdr:row>
      <xdr:rowOff>161925</xdr:rowOff>
    </xdr:from>
    <xdr:to>
      <xdr:col>7</xdr:col>
      <xdr:colOff>66675</xdr:colOff>
      <xdr:row>63</xdr:row>
      <xdr:rowOff>0</xdr:rowOff>
    </xdr:to>
    <xdr:sp macro="" textlink="">
      <xdr:nvSpPr>
        <xdr:cNvPr id="46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5010000}"/>
            </a:ext>
            <a:ext uri="{147F2762-F138-4A5C-976F-8EAC2B608ADB}">
              <a16:predDERef xmlns:a16="http://schemas.microsoft.com/office/drawing/2014/main" pred="{49F51799-9E8B-4D04-A307-A0F9B199BBCE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62</xdr:row>
      <xdr:rowOff>161925</xdr:rowOff>
    </xdr:from>
    <xdr:to>
      <xdr:col>7</xdr:col>
      <xdr:colOff>66675</xdr:colOff>
      <xdr:row>64</xdr:row>
      <xdr:rowOff>0</xdr:rowOff>
    </xdr:to>
    <xdr:sp macro="" textlink="">
      <xdr:nvSpPr>
        <xdr:cNvPr id="47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6010000}"/>
            </a:ext>
            <a:ext uri="{147F2762-F138-4A5C-976F-8EAC2B608ADB}">
              <a16:predDERef xmlns:a16="http://schemas.microsoft.com/office/drawing/2014/main" pred="{A734D6E5-89A2-4DB0-82F5-A0F1E55646B6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63</xdr:row>
      <xdr:rowOff>161925</xdr:rowOff>
    </xdr:from>
    <xdr:to>
      <xdr:col>7</xdr:col>
      <xdr:colOff>66675</xdr:colOff>
      <xdr:row>65</xdr:row>
      <xdr:rowOff>0</xdr:rowOff>
    </xdr:to>
    <xdr:sp macro="" textlink="">
      <xdr:nvSpPr>
        <xdr:cNvPr id="47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7010000}"/>
            </a:ext>
            <a:ext uri="{147F2762-F138-4A5C-976F-8EAC2B608ADB}">
              <a16:predDERef xmlns:a16="http://schemas.microsoft.com/office/drawing/2014/main" pred="{358DA106-B93D-433E-882A-E9921D34213B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64</xdr:row>
      <xdr:rowOff>161925</xdr:rowOff>
    </xdr:from>
    <xdr:to>
      <xdr:col>7</xdr:col>
      <xdr:colOff>66675</xdr:colOff>
      <xdr:row>66</xdr:row>
      <xdr:rowOff>0</xdr:rowOff>
    </xdr:to>
    <xdr:sp macro="" textlink="">
      <xdr:nvSpPr>
        <xdr:cNvPr id="47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8010000}"/>
            </a:ext>
            <a:ext uri="{147F2762-F138-4A5C-976F-8EAC2B608ADB}">
              <a16:predDERef xmlns:a16="http://schemas.microsoft.com/office/drawing/2014/main" pred="{EC349D3A-CF1A-4F35-BCFC-62A8967F8728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65</xdr:row>
      <xdr:rowOff>161925</xdr:rowOff>
    </xdr:from>
    <xdr:to>
      <xdr:col>7</xdr:col>
      <xdr:colOff>66675</xdr:colOff>
      <xdr:row>67</xdr:row>
      <xdr:rowOff>0</xdr:rowOff>
    </xdr:to>
    <xdr:sp macro="" textlink="">
      <xdr:nvSpPr>
        <xdr:cNvPr id="47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9010000}"/>
            </a:ext>
            <a:ext uri="{147F2762-F138-4A5C-976F-8EAC2B608ADB}">
              <a16:predDERef xmlns:a16="http://schemas.microsoft.com/office/drawing/2014/main" pred="{2426C589-3885-43AA-9FE2-4984254F977A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66</xdr:row>
      <xdr:rowOff>161925</xdr:rowOff>
    </xdr:from>
    <xdr:to>
      <xdr:col>7</xdr:col>
      <xdr:colOff>66675</xdr:colOff>
      <xdr:row>68</xdr:row>
      <xdr:rowOff>0</xdr:rowOff>
    </xdr:to>
    <xdr:sp macro="" textlink="">
      <xdr:nvSpPr>
        <xdr:cNvPr id="47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A010000}"/>
            </a:ext>
            <a:ext uri="{147F2762-F138-4A5C-976F-8EAC2B608ADB}">
              <a16:predDERef xmlns:a16="http://schemas.microsoft.com/office/drawing/2014/main" pred="{4AC680E0-CB8A-4A07-959D-75C36217F4D6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67</xdr:row>
      <xdr:rowOff>161925</xdr:rowOff>
    </xdr:from>
    <xdr:to>
      <xdr:col>7</xdr:col>
      <xdr:colOff>66675</xdr:colOff>
      <xdr:row>69</xdr:row>
      <xdr:rowOff>0</xdr:rowOff>
    </xdr:to>
    <xdr:sp macro="" textlink="">
      <xdr:nvSpPr>
        <xdr:cNvPr id="47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B010000}"/>
            </a:ext>
            <a:ext uri="{147F2762-F138-4A5C-976F-8EAC2B608ADB}">
              <a16:predDERef xmlns:a16="http://schemas.microsoft.com/office/drawing/2014/main" pred="{1D45D145-6109-4368-8336-EE42971E4459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68</xdr:row>
      <xdr:rowOff>161925</xdr:rowOff>
    </xdr:from>
    <xdr:to>
      <xdr:col>7</xdr:col>
      <xdr:colOff>66675</xdr:colOff>
      <xdr:row>70</xdr:row>
      <xdr:rowOff>0</xdr:rowOff>
    </xdr:to>
    <xdr:sp macro="" textlink="">
      <xdr:nvSpPr>
        <xdr:cNvPr id="47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C010000}"/>
            </a:ext>
            <a:ext uri="{147F2762-F138-4A5C-976F-8EAC2B608ADB}">
              <a16:predDERef xmlns:a16="http://schemas.microsoft.com/office/drawing/2014/main" pred="{332B8011-7853-44DA-9593-FE3D2537255F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69</xdr:row>
      <xdr:rowOff>161925</xdr:rowOff>
    </xdr:from>
    <xdr:to>
      <xdr:col>7</xdr:col>
      <xdr:colOff>66675</xdr:colOff>
      <xdr:row>71</xdr:row>
      <xdr:rowOff>0</xdr:rowOff>
    </xdr:to>
    <xdr:sp macro="" textlink="">
      <xdr:nvSpPr>
        <xdr:cNvPr id="47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D010000}"/>
            </a:ext>
            <a:ext uri="{147F2762-F138-4A5C-976F-8EAC2B608ADB}">
              <a16:predDERef xmlns:a16="http://schemas.microsoft.com/office/drawing/2014/main" pred="{BEE82BE2-743D-4A6E-AEF3-E2D6AB6A6A84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70</xdr:row>
      <xdr:rowOff>161925</xdr:rowOff>
    </xdr:from>
    <xdr:to>
      <xdr:col>7</xdr:col>
      <xdr:colOff>66675</xdr:colOff>
      <xdr:row>72</xdr:row>
      <xdr:rowOff>0</xdr:rowOff>
    </xdr:to>
    <xdr:sp macro="" textlink="">
      <xdr:nvSpPr>
        <xdr:cNvPr id="47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E010000}"/>
            </a:ext>
            <a:ext uri="{147F2762-F138-4A5C-976F-8EAC2B608ADB}">
              <a16:predDERef xmlns:a16="http://schemas.microsoft.com/office/drawing/2014/main" pred="{3AAF2777-0E98-4CAE-9AE7-227ECDB1E02E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71</xdr:row>
      <xdr:rowOff>161925</xdr:rowOff>
    </xdr:from>
    <xdr:to>
      <xdr:col>7</xdr:col>
      <xdr:colOff>66675</xdr:colOff>
      <xdr:row>73</xdr:row>
      <xdr:rowOff>0</xdr:rowOff>
    </xdr:to>
    <xdr:sp macro="" textlink="">
      <xdr:nvSpPr>
        <xdr:cNvPr id="47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F010000}"/>
            </a:ext>
            <a:ext uri="{147F2762-F138-4A5C-976F-8EAC2B608ADB}">
              <a16:predDERef xmlns:a16="http://schemas.microsoft.com/office/drawing/2014/main" pred="{F2D58DBF-CA95-4F8D-972F-7C9BA0C99AB6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72</xdr:row>
      <xdr:rowOff>161925</xdr:rowOff>
    </xdr:from>
    <xdr:to>
      <xdr:col>7</xdr:col>
      <xdr:colOff>66675</xdr:colOff>
      <xdr:row>74</xdr:row>
      <xdr:rowOff>0</xdr:rowOff>
    </xdr:to>
    <xdr:sp macro="" textlink="">
      <xdr:nvSpPr>
        <xdr:cNvPr id="48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001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73</xdr:row>
      <xdr:rowOff>161925</xdr:rowOff>
    </xdr:from>
    <xdr:to>
      <xdr:col>7</xdr:col>
      <xdr:colOff>66675</xdr:colOff>
      <xdr:row>75</xdr:row>
      <xdr:rowOff>0</xdr:rowOff>
    </xdr:to>
    <xdr:sp macro="" textlink="">
      <xdr:nvSpPr>
        <xdr:cNvPr id="48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101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74</xdr:row>
      <xdr:rowOff>161925</xdr:rowOff>
    </xdr:from>
    <xdr:to>
      <xdr:col>7</xdr:col>
      <xdr:colOff>66675</xdr:colOff>
      <xdr:row>76</xdr:row>
      <xdr:rowOff>0</xdr:rowOff>
    </xdr:to>
    <xdr:sp macro="" textlink="">
      <xdr:nvSpPr>
        <xdr:cNvPr id="48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201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75</xdr:row>
      <xdr:rowOff>161925</xdr:rowOff>
    </xdr:from>
    <xdr:to>
      <xdr:col>7</xdr:col>
      <xdr:colOff>66675</xdr:colOff>
      <xdr:row>77</xdr:row>
      <xdr:rowOff>0</xdr:rowOff>
    </xdr:to>
    <xdr:sp macro="" textlink="">
      <xdr:nvSpPr>
        <xdr:cNvPr id="48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301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48425" y="4200525"/>
          <a:ext cx="3048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9525</xdr:colOff>
      <xdr:row>30</xdr:row>
      <xdr:rowOff>161925</xdr:rowOff>
    </xdr:from>
    <xdr:ext cx="307182" cy="219075"/>
    <xdr:sp macro="" textlink="">
      <xdr:nvSpPr>
        <xdr:cNvPr id="62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31</xdr:row>
      <xdr:rowOff>161925</xdr:rowOff>
    </xdr:from>
    <xdr:ext cx="307182" cy="219075"/>
    <xdr:sp macro="" textlink="">
      <xdr:nvSpPr>
        <xdr:cNvPr id="62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4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32</xdr:row>
      <xdr:rowOff>161925</xdr:rowOff>
    </xdr:from>
    <xdr:ext cx="307182" cy="219075"/>
    <xdr:sp macro="" textlink="">
      <xdr:nvSpPr>
        <xdr:cNvPr id="62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5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32</xdr:row>
      <xdr:rowOff>161925</xdr:rowOff>
    </xdr:from>
    <xdr:ext cx="307182" cy="219075"/>
    <xdr:sp macro="" textlink="">
      <xdr:nvSpPr>
        <xdr:cNvPr id="63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7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33</xdr:row>
      <xdr:rowOff>161925</xdr:rowOff>
    </xdr:from>
    <xdr:ext cx="307182" cy="219075"/>
    <xdr:sp macro="" textlink="">
      <xdr:nvSpPr>
        <xdr:cNvPr id="63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8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34</xdr:row>
      <xdr:rowOff>161925</xdr:rowOff>
    </xdr:from>
    <xdr:ext cx="307182" cy="219075"/>
    <xdr:sp macro="" textlink="">
      <xdr:nvSpPr>
        <xdr:cNvPr id="63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9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34</xdr:row>
      <xdr:rowOff>161925</xdr:rowOff>
    </xdr:from>
    <xdr:ext cx="307182" cy="219075"/>
    <xdr:sp macro="" textlink="">
      <xdr:nvSpPr>
        <xdr:cNvPr id="63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B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34</xdr:row>
      <xdr:rowOff>161925</xdr:rowOff>
    </xdr:from>
    <xdr:ext cx="307182" cy="219075"/>
    <xdr:sp macro="" textlink="">
      <xdr:nvSpPr>
        <xdr:cNvPr id="63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D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35</xdr:row>
      <xdr:rowOff>161925</xdr:rowOff>
    </xdr:from>
    <xdr:ext cx="307182" cy="219075"/>
    <xdr:sp macro="" textlink="">
      <xdr:nvSpPr>
        <xdr:cNvPr id="63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E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63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F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64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1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64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37</xdr:row>
      <xdr:rowOff>161925</xdr:rowOff>
    </xdr:from>
    <xdr:ext cx="307182" cy="219075"/>
    <xdr:sp macro="" textlink="">
      <xdr:nvSpPr>
        <xdr:cNvPr id="64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4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38</xdr:row>
      <xdr:rowOff>161925</xdr:rowOff>
    </xdr:from>
    <xdr:ext cx="307182" cy="219075"/>
    <xdr:sp macro="" textlink="">
      <xdr:nvSpPr>
        <xdr:cNvPr id="64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5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38</xdr:row>
      <xdr:rowOff>161925</xdr:rowOff>
    </xdr:from>
    <xdr:ext cx="307182" cy="219075"/>
    <xdr:sp macro="" textlink="">
      <xdr:nvSpPr>
        <xdr:cNvPr id="64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7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38</xdr:row>
      <xdr:rowOff>161925</xdr:rowOff>
    </xdr:from>
    <xdr:ext cx="307182" cy="219075"/>
    <xdr:sp macro="" textlink="">
      <xdr:nvSpPr>
        <xdr:cNvPr id="64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9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39</xdr:row>
      <xdr:rowOff>161925</xdr:rowOff>
    </xdr:from>
    <xdr:ext cx="307182" cy="219075"/>
    <xdr:sp macro="" textlink="">
      <xdr:nvSpPr>
        <xdr:cNvPr id="65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A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65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B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65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D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40</xdr:row>
          <xdr:rowOff>161925</xdr:rowOff>
        </xdr:from>
        <xdr:to>
          <xdr:col>6</xdr:col>
          <xdr:colOff>238125</xdr:colOff>
          <xdr:row>42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3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65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8F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41</xdr:row>
      <xdr:rowOff>161925</xdr:rowOff>
    </xdr:from>
    <xdr:ext cx="307182" cy="219075"/>
    <xdr:sp macro="" textlink="">
      <xdr:nvSpPr>
        <xdr:cNvPr id="65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0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42</xdr:row>
      <xdr:rowOff>161925</xdr:rowOff>
    </xdr:from>
    <xdr:ext cx="307182" cy="219075"/>
    <xdr:sp macro="" textlink="">
      <xdr:nvSpPr>
        <xdr:cNvPr id="65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1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42</xdr:row>
      <xdr:rowOff>161925</xdr:rowOff>
    </xdr:from>
    <xdr:ext cx="307182" cy="219075"/>
    <xdr:sp macro="" textlink="">
      <xdr:nvSpPr>
        <xdr:cNvPr id="65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42</xdr:row>
          <xdr:rowOff>161925</xdr:rowOff>
        </xdr:from>
        <xdr:to>
          <xdr:col>6</xdr:col>
          <xdr:colOff>238125</xdr:colOff>
          <xdr:row>44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3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42</xdr:row>
      <xdr:rowOff>161925</xdr:rowOff>
    </xdr:from>
    <xdr:ext cx="307182" cy="219075"/>
    <xdr:sp macro="" textlink="">
      <xdr:nvSpPr>
        <xdr:cNvPr id="66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5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43</xdr:row>
      <xdr:rowOff>161925</xdr:rowOff>
    </xdr:from>
    <xdr:ext cx="307182" cy="219075"/>
    <xdr:sp macro="" textlink="">
      <xdr:nvSpPr>
        <xdr:cNvPr id="66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6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66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7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42</xdr:row>
          <xdr:rowOff>161925</xdr:rowOff>
        </xdr:from>
        <xdr:to>
          <xdr:col>6</xdr:col>
          <xdr:colOff>238125</xdr:colOff>
          <xdr:row>44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3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66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9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44</xdr:row>
          <xdr:rowOff>161925</xdr:rowOff>
        </xdr:from>
        <xdr:to>
          <xdr:col>6</xdr:col>
          <xdr:colOff>238125</xdr:colOff>
          <xdr:row>46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3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66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B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45</xdr:row>
      <xdr:rowOff>161925</xdr:rowOff>
    </xdr:from>
    <xdr:ext cx="307182" cy="219075"/>
    <xdr:sp macro="" textlink="">
      <xdr:nvSpPr>
        <xdr:cNvPr id="66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C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46</xdr:row>
      <xdr:rowOff>161925</xdr:rowOff>
    </xdr:from>
    <xdr:ext cx="307182" cy="219075"/>
    <xdr:sp macro="" textlink="">
      <xdr:nvSpPr>
        <xdr:cNvPr id="66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D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44</xdr:row>
          <xdr:rowOff>161925</xdr:rowOff>
        </xdr:from>
        <xdr:to>
          <xdr:col>6</xdr:col>
          <xdr:colOff>238125</xdr:colOff>
          <xdr:row>46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3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46</xdr:row>
      <xdr:rowOff>161925</xdr:rowOff>
    </xdr:from>
    <xdr:ext cx="307182" cy="219075"/>
    <xdr:sp macro="" textlink="">
      <xdr:nvSpPr>
        <xdr:cNvPr id="67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9F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46</xdr:row>
          <xdr:rowOff>161925</xdr:rowOff>
        </xdr:from>
        <xdr:to>
          <xdr:col>6</xdr:col>
          <xdr:colOff>238125</xdr:colOff>
          <xdr:row>48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3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46</xdr:row>
      <xdr:rowOff>161925</xdr:rowOff>
    </xdr:from>
    <xdr:ext cx="307182" cy="219075"/>
    <xdr:sp macro="" textlink="">
      <xdr:nvSpPr>
        <xdr:cNvPr id="67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1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47</xdr:row>
      <xdr:rowOff>161925</xdr:rowOff>
    </xdr:from>
    <xdr:ext cx="307182" cy="219075"/>
    <xdr:sp macro="" textlink="">
      <xdr:nvSpPr>
        <xdr:cNvPr id="67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2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67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3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46</xdr:row>
          <xdr:rowOff>161925</xdr:rowOff>
        </xdr:from>
        <xdr:to>
          <xdr:col>6</xdr:col>
          <xdr:colOff>238125</xdr:colOff>
          <xdr:row>48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3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67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5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48</xdr:row>
          <xdr:rowOff>161925</xdr:rowOff>
        </xdr:from>
        <xdr:to>
          <xdr:col>6</xdr:col>
          <xdr:colOff>238125</xdr:colOff>
          <xdr:row>50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3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67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7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49</xdr:row>
      <xdr:rowOff>161925</xdr:rowOff>
    </xdr:from>
    <xdr:ext cx="307182" cy="219075"/>
    <xdr:sp macro="" textlink="">
      <xdr:nvSpPr>
        <xdr:cNvPr id="68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8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50</xdr:row>
      <xdr:rowOff>161925</xdr:rowOff>
    </xdr:from>
    <xdr:ext cx="307182" cy="219075"/>
    <xdr:sp macro="" textlink="">
      <xdr:nvSpPr>
        <xdr:cNvPr id="68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9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48</xdr:row>
          <xdr:rowOff>161925</xdr:rowOff>
        </xdr:from>
        <xdr:to>
          <xdr:col>6</xdr:col>
          <xdr:colOff>238125</xdr:colOff>
          <xdr:row>50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3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50</xdr:row>
      <xdr:rowOff>161925</xdr:rowOff>
    </xdr:from>
    <xdr:ext cx="307182" cy="219075"/>
    <xdr:sp macro="" textlink="">
      <xdr:nvSpPr>
        <xdr:cNvPr id="68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B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50</xdr:row>
          <xdr:rowOff>161925</xdr:rowOff>
        </xdr:from>
        <xdr:to>
          <xdr:col>6</xdr:col>
          <xdr:colOff>238125</xdr:colOff>
          <xdr:row>52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50</xdr:row>
      <xdr:rowOff>161925</xdr:rowOff>
    </xdr:from>
    <xdr:ext cx="307182" cy="219075"/>
    <xdr:sp macro="" textlink="">
      <xdr:nvSpPr>
        <xdr:cNvPr id="68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D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51</xdr:row>
      <xdr:rowOff>161925</xdr:rowOff>
    </xdr:from>
    <xdr:ext cx="307182" cy="219075"/>
    <xdr:sp macro="" textlink="">
      <xdr:nvSpPr>
        <xdr:cNvPr id="68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E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68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AF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50</xdr:row>
          <xdr:rowOff>161925</xdr:rowOff>
        </xdr:from>
        <xdr:to>
          <xdr:col>6</xdr:col>
          <xdr:colOff>238125</xdr:colOff>
          <xdr:row>52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3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68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1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52</xdr:row>
          <xdr:rowOff>161925</xdr:rowOff>
        </xdr:from>
        <xdr:to>
          <xdr:col>6</xdr:col>
          <xdr:colOff>238125</xdr:colOff>
          <xdr:row>54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3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69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53</xdr:row>
      <xdr:rowOff>161925</xdr:rowOff>
    </xdr:from>
    <xdr:ext cx="307182" cy="219075"/>
    <xdr:sp macro="" textlink="">
      <xdr:nvSpPr>
        <xdr:cNvPr id="69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4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54</xdr:row>
      <xdr:rowOff>161925</xdr:rowOff>
    </xdr:from>
    <xdr:ext cx="307182" cy="219075"/>
    <xdr:sp macro="" textlink="">
      <xdr:nvSpPr>
        <xdr:cNvPr id="69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5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52</xdr:row>
          <xdr:rowOff>161925</xdr:rowOff>
        </xdr:from>
        <xdr:to>
          <xdr:col>6</xdr:col>
          <xdr:colOff>238125</xdr:colOff>
          <xdr:row>54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3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54</xdr:row>
      <xdr:rowOff>161925</xdr:rowOff>
    </xdr:from>
    <xdr:ext cx="307182" cy="219075"/>
    <xdr:sp macro="" textlink="">
      <xdr:nvSpPr>
        <xdr:cNvPr id="69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7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54</xdr:row>
          <xdr:rowOff>161925</xdr:rowOff>
        </xdr:from>
        <xdr:to>
          <xdr:col>6</xdr:col>
          <xdr:colOff>238125</xdr:colOff>
          <xdr:row>56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3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54</xdr:row>
      <xdr:rowOff>161925</xdr:rowOff>
    </xdr:from>
    <xdr:ext cx="307182" cy="219075"/>
    <xdr:sp macro="" textlink="">
      <xdr:nvSpPr>
        <xdr:cNvPr id="69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9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55</xdr:row>
      <xdr:rowOff>161925</xdr:rowOff>
    </xdr:from>
    <xdr:ext cx="307182" cy="219075"/>
    <xdr:sp macro="" textlink="">
      <xdr:nvSpPr>
        <xdr:cNvPr id="69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A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69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B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54</xdr:row>
          <xdr:rowOff>161925</xdr:rowOff>
        </xdr:from>
        <xdr:to>
          <xdr:col>6</xdr:col>
          <xdr:colOff>238125</xdr:colOff>
          <xdr:row>56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3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70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D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56</xdr:row>
          <xdr:rowOff>161925</xdr:rowOff>
        </xdr:from>
        <xdr:to>
          <xdr:col>6</xdr:col>
          <xdr:colOff>238125</xdr:colOff>
          <xdr:row>58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3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70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BF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57</xdr:row>
      <xdr:rowOff>161925</xdr:rowOff>
    </xdr:from>
    <xdr:ext cx="307182" cy="219075"/>
    <xdr:sp macro="" textlink="">
      <xdr:nvSpPr>
        <xdr:cNvPr id="70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0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58</xdr:row>
      <xdr:rowOff>161925</xdr:rowOff>
    </xdr:from>
    <xdr:ext cx="307182" cy="219075"/>
    <xdr:sp macro="" textlink="">
      <xdr:nvSpPr>
        <xdr:cNvPr id="70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1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56</xdr:row>
          <xdr:rowOff>161925</xdr:rowOff>
        </xdr:from>
        <xdr:to>
          <xdr:col>6</xdr:col>
          <xdr:colOff>238125</xdr:colOff>
          <xdr:row>58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3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58</xdr:row>
      <xdr:rowOff>161925</xdr:rowOff>
    </xdr:from>
    <xdr:ext cx="307182" cy="219075"/>
    <xdr:sp macro="" textlink="">
      <xdr:nvSpPr>
        <xdr:cNvPr id="70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58</xdr:row>
          <xdr:rowOff>161925</xdr:rowOff>
        </xdr:from>
        <xdr:to>
          <xdr:col>6</xdr:col>
          <xdr:colOff>238125</xdr:colOff>
          <xdr:row>60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3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58</xdr:row>
      <xdr:rowOff>161925</xdr:rowOff>
    </xdr:from>
    <xdr:ext cx="307182" cy="219075"/>
    <xdr:sp macro="" textlink="">
      <xdr:nvSpPr>
        <xdr:cNvPr id="70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5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59</xdr:row>
      <xdr:rowOff>161925</xdr:rowOff>
    </xdr:from>
    <xdr:ext cx="307182" cy="219075"/>
    <xdr:sp macro="" textlink="">
      <xdr:nvSpPr>
        <xdr:cNvPr id="71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6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71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7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58</xdr:row>
          <xdr:rowOff>161925</xdr:rowOff>
        </xdr:from>
        <xdr:to>
          <xdr:col>6</xdr:col>
          <xdr:colOff>238125</xdr:colOff>
          <xdr:row>60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3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71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9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60</xdr:row>
          <xdr:rowOff>161925</xdr:rowOff>
        </xdr:from>
        <xdr:to>
          <xdr:col>6</xdr:col>
          <xdr:colOff>238125</xdr:colOff>
          <xdr:row>62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3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71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B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61</xdr:row>
      <xdr:rowOff>161925</xdr:rowOff>
    </xdr:from>
    <xdr:ext cx="307182" cy="219075"/>
    <xdr:sp macro="" textlink="">
      <xdr:nvSpPr>
        <xdr:cNvPr id="71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C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62</xdr:row>
      <xdr:rowOff>161925</xdr:rowOff>
    </xdr:from>
    <xdr:ext cx="307182" cy="219075"/>
    <xdr:sp macro="" textlink="">
      <xdr:nvSpPr>
        <xdr:cNvPr id="71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D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60</xdr:row>
          <xdr:rowOff>161925</xdr:rowOff>
        </xdr:from>
        <xdr:to>
          <xdr:col>6</xdr:col>
          <xdr:colOff>238125</xdr:colOff>
          <xdr:row>62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3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62</xdr:row>
      <xdr:rowOff>161925</xdr:rowOff>
    </xdr:from>
    <xdr:ext cx="307182" cy="219075"/>
    <xdr:sp macro="" textlink="">
      <xdr:nvSpPr>
        <xdr:cNvPr id="71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CF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62</xdr:row>
          <xdr:rowOff>161925</xdr:rowOff>
        </xdr:from>
        <xdr:to>
          <xdr:col>6</xdr:col>
          <xdr:colOff>238125</xdr:colOff>
          <xdr:row>64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3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62</xdr:row>
      <xdr:rowOff>161925</xdr:rowOff>
    </xdr:from>
    <xdr:ext cx="307182" cy="219075"/>
    <xdr:sp macro="" textlink="">
      <xdr:nvSpPr>
        <xdr:cNvPr id="72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1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63</xdr:row>
      <xdr:rowOff>161925</xdr:rowOff>
    </xdr:from>
    <xdr:ext cx="307182" cy="219075"/>
    <xdr:sp macro="" textlink="">
      <xdr:nvSpPr>
        <xdr:cNvPr id="72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2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72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3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62</xdr:row>
          <xdr:rowOff>161925</xdr:rowOff>
        </xdr:from>
        <xdr:to>
          <xdr:col>6</xdr:col>
          <xdr:colOff>238125</xdr:colOff>
          <xdr:row>64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3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72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5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64</xdr:row>
          <xdr:rowOff>161925</xdr:rowOff>
        </xdr:from>
        <xdr:to>
          <xdr:col>6</xdr:col>
          <xdr:colOff>238125</xdr:colOff>
          <xdr:row>66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3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72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7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65</xdr:row>
      <xdr:rowOff>161925</xdr:rowOff>
    </xdr:from>
    <xdr:ext cx="307182" cy="219075"/>
    <xdr:sp macro="" textlink="">
      <xdr:nvSpPr>
        <xdr:cNvPr id="72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8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66</xdr:row>
      <xdr:rowOff>161925</xdr:rowOff>
    </xdr:from>
    <xdr:ext cx="307182" cy="219075"/>
    <xdr:sp macro="" textlink="">
      <xdr:nvSpPr>
        <xdr:cNvPr id="72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9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64</xdr:row>
          <xdr:rowOff>161925</xdr:rowOff>
        </xdr:from>
        <xdr:to>
          <xdr:col>6</xdr:col>
          <xdr:colOff>238125</xdr:colOff>
          <xdr:row>66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3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66</xdr:row>
      <xdr:rowOff>161925</xdr:rowOff>
    </xdr:from>
    <xdr:ext cx="307182" cy="219075"/>
    <xdr:sp macro="" textlink="">
      <xdr:nvSpPr>
        <xdr:cNvPr id="73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B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66</xdr:row>
          <xdr:rowOff>161925</xdr:rowOff>
        </xdr:from>
        <xdr:to>
          <xdr:col>6</xdr:col>
          <xdr:colOff>238125</xdr:colOff>
          <xdr:row>68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3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66</xdr:row>
      <xdr:rowOff>161925</xdr:rowOff>
    </xdr:from>
    <xdr:ext cx="307182" cy="219075"/>
    <xdr:sp macro="" textlink="">
      <xdr:nvSpPr>
        <xdr:cNvPr id="73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D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67</xdr:row>
      <xdr:rowOff>161925</xdr:rowOff>
    </xdr:from>
    <xdr:ext cx="307182" cy="219075"/>
    <xdr:sp macro="" textlink="">
      <xdr:nvSpPr>
        <xdr:cNvPr id="73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E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73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F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66</xdr:row>
          <xdr:rowOff>161925</xdr:rowOff>
        </xdr:from>
        <xdr:to>
          <xdr:col>6</xdr:col>
          <xdr:colOff>238125</xdr:colOff>
          <xdr:row>68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3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73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1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68</xdr:row>
          <xdr:rowOff>161925</xdr:rowOff>
        </xdr:from>
        <xdr:to>
          <xdr:col>6</xdr:col>
          <xdr:colOff>238125</xdr:colOff>
          <xdr:row>70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3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73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69</xdr:row>
      <xdr:rowOff>161925</xdr:rowOff>
    </xdr:from>
    <xdr:ext cx="307182" cy="219075"/>
    <xdr:sp macro="" textlink="">
      <xdr:nvSpPr>
        <xdr:cNvPr id="74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4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70</xdr:row>
      <xdr:rowOff>161925</xdr:rowOff>
    </xdr:from>
    <xdr:ext cx="307182" cy="219075"/>
    <xdr:sp macro="" textlink="">
      <xdr:nvSpPr>
        <xdr:cNvPr id="74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5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68</xdr:row>
          <xdr:rowOff>161925</xdr:rowOff>
        </xdr:from>
        <xdr:to>
          <xdr:col>6</xdr:col>
          <xdr:colOff>238125</xdr:colOff>
          <xdr:row>70</xdr:row>
          <xdr:rowOff>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3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70</xdr:row>
      <xdr:rowOff>161925</xdr:rowOff>
    </xdr:from>
    <xdr:ext cx="307182" cy="219075"/>
    <xdr:sp macro="" textlink="">
      <xdr:nvSpPr>
        <xdr:cNvPr id="74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7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70</xdr:row>
          <xdr:rowOff>161925</xdr:rowOff>
        </xdr:from>
        <xdr:to>
          <xdr:col>6</xdr:col>
          <xdr:colOff>238125</xdr:colOff>
          <xdr:row>72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3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70</xdr:row>
      <xdr:rowOff>161925</xdr:rowOff>
    </xdr:from>
    <xdr:ext cx="307182" cy="219075"/>
    <xdr:sp macro="" textlink="">
      <xdr:nvSpPr>
        <xdr:cNvPr id="74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9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71</xdr:row>
      <xdr:rowOff>161925</xdr:rowOff>
    </xdr:from>
    <xdr:ext cx="307182" cy="219075"/>
    <xdr:sp macro="" textlink="">
      <xdr:nvSpPr>
        <xdr:cNvPr id="74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A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72</xdr:row>
      <xdr:rowOff>161925</xdr:rowOff>
    </xdr:from>
    <xdr:ext cx="307182" cy="219075"/>
    <xdr:sp macro="" textlink="">
      <xdr:nvSpPr>
        <xdr:cNvPr id="74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B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70</xdr:row>
          <xdr:rowOff>161925</xdr:rowOff>
        </xdr:from>
        <xdr:to>
          <xdr:col>6</xdr:col>
          <xdr:colOff>238125</xdr:colOff>
          <xdr:row>72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3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72</xdr:row>
      <xdr:rowOff>161925</xdr:rowOff>
    </xdr:from>
    <xdr:ext cx="307182" cy="219075"/>
    <xdr:sp macro="" textlink="">
      <xdr:nvSpPr>
        <xdr:cNvPr id="74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D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72</xdr:row>
          <xdr:rowOff>161925</xdr:rowOff>
        </xdr:from>
        <xdr:to>
          <xdr:col>6</xdr:col>
          <xdr:colOff>238125</xdr:colOff>
          <xdr:row>74</xdr:row>
          <xdr:rowOff>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3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72</xdr:row>
      <xdr:rowOff>161925</xdr:rowOff>
    </xdr:from>
    <xdr:ext cx="307182" cy="219075"/>
    <xdr:sp macro="" textlink="">
      <xdr:nvSpPr>
        <xdr:cNvPr id="75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F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537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73</xdr:row>
      <xdr:rowOff>161925</xdr:rowOff>
    </xdr:from>
    <xdr:ext cx="307182" cy="219075"/>
    <xdr:sp macro="" textlink="">
      <xdr:nvSpPr>
        <xdr:cNvPr id="75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002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5728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74</xdr:row>
      <xdr:rowOff>161925</xdr:rowOff>
    </xdr:from>
    <xdr:ext cx="307182" cy="219075"/>
    <xdr:sp macro="" textlink="">
      <xdr:nvSpPr>
        <xdr:cNvPr id="75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102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72</xdr:row>
          <xdr:rowOff>161925</xdr:rowOff>
        </xdr:from>
        <xdr:to>
          <xdr:col>6</xdr:col>
          <xdr:colOff>238125</xdr:colOff>
          <xdr:row>74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3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74</xdr:row>
      <xdr:rowOff>161925</xdr:rowOff>
    </xdr:from>
    <xdr:ext cx="307182" cy="219075"/>
    <xdr:sp macro="" textlink="">
      <xdr:nvSpPr>
        <xdr:cNvPr id="75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302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5918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74</xdr:row>
          <xdr:rowOff>161925</xdr:rowOff>
        </xdr:from>
        <xdr:to>
          <xdr:col>6</xdr:col>
          <xdr:colOff>238125</xdr:colOff>
          <xdr:row>76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3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9525</xdr:colOff>
      <xdr:row>2</xdr:row>
      <xdr:rowOff>161925</xdr:rowOff>
    </xdr:from>
    <xdr:ext cx="307182" cy="219075"/>
    <xdr:sp macro="" textlink="">
      <xdr:nvSpPr>
        <xdr:cNvPr id="76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802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</xdr:row>
      <xdr:rowOff>161925</xdr:rowOff>
    </xdr:from>
    <xdr:ext cx="307182" cy="219075"/>
    <xdr:sp macro="" textlink="">
      <xdr:nvSpPr>
        <xdr:cNvPr id="76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902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</xdr:row>
      <xdr:rowOff>161925</xdr:rowOff>
    </xdr:from>
    <xdr:ext cx="307182" cy="219075"/>
    <xdr:sp macro="" textlink="">
      <xdr:nvSpPr>
        <xdr:cNvPr id="76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A02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</xdr:row>
      <xdr:rowOff>161925</xdr:rowOff>
    </xdr:from>
    <xdr:ext cx="307182" cy="219075"/>
    <xdr:sp macro="" textlink="">
      <xdr:nvSpPr>
        <xdr:cNvPr id="76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B02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</xdr:row>
      <xdr:rowOff>161925</xdr:rowOff>
    </xdr:from>
    <xdr:ext cx="307182" cy="219075"/>
    <xdr:sp macro="" textlink="">
      <xdr:nvSpPr>
        <xdr:cNvPr id="76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C02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</xdr:row>
      <xdr:rowOff>161925</xdr:rowOff>
    </xdr:from>
    <xdr:ext cx="307182" cy="219075"/>
    <xdr:sp macro="" textlink="">
      <xdr:nvSpPr>
        <xdr:cNvPr id="76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D02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</xdr:row>
      <xdr:rowOff>161925</xdr:rowOff>
    </xdr:from>
    <xdr:ext cx="307182" cy="219075"/>
    <xdr:sp macro="" textlink="">
      <xdr:nvSpPr>
        <xdr:cNvPr id="76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E02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</xdr:row>
      <xdr:rowOff>161925</xdr:rowOff>
    </xdr:from>
    <xdr:ext cx="307182" cy="219075"/>
    <xdr:sp macro="" textlink="">
      <xdr:nvSpPr>
        <xdr:cNvPr id="76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F02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</xdr:row>
      <xdr:rowOff>161925</xdr:rowOff>
    </xdr:from>
    <xdr:ext cx="307182" cy="219075"/>
    <xdr:sp macro="" textlink="">
      <xdr:nvSpPr>
        <xdr:cNvPr id="76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0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</xdr:row>
      <xdr:rowOff>161925</xdr:rowOff>
    </xdr:from>
    <xdr:ext cx="307182" cy="219075"/>
    <xdr:sp macro="" textlink="">
      <xdr:nvSpPr>
        <xdr:cNvPr id="76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1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</xdr:row>
      <xdr:rowOff>161925</xdr:rowOff>
    </xdr:from>
    <xdr:ext cx="307182" cy="219075"/>
    <xdr:sp macro="" textlink="">
      <xdr:nvSpPr>
        <xdr:cNvPr id="77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2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8</xdr:row>
      <xdr:rowOff>161925</xdr:rowOff>
    </xdr:from>
    <xdr:ext cx="307182" cy="219075"/>
    <xdr:sp macro="" textlink="">
      <xdr:nvSpPr>
        <xdr:cNvPr id="77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3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8</xdr:row>
      <xdr:rowOff>161925</xdr:rowOff>
    </xdr:from>
    <xdr:ext cx="307182" cy="219075"/>
    <xdr:sp macro="" textlink="">
      <xdr:nvSpPr>
        <xdr:cNvPr id="77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4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9</xdr:row>
      <xdr:rowOff>161925</xdr:rowOff>
    </xdr:from>
    <xdr:ext cx="307182" cy="219075"/>
    <xdr:sp macro="" textlink="">
      <xdr:nvSpPr>
        <xdr:cNvPr id="77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5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9</xdr:row>
      <xdr:rowOff>161925</xdr:rowOff>
    </xdr:from>
    <xdr:ext cx="307182" cy="219075"/>
    <xdr:sp macro="" textlink="">
      <xdr:nvSpPr>
        <xdr:cNvPr id="77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6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10</xdr:row>
      <xdr:rowOff>161925</xdr:rowOff>
    </xdr:from>
    <xdr:ext cx="307182" cy="219075"/>
    <xdr:sp macro="" textlink="">
      <xdr:nvSpPr>
        <xdr:cNvPr id="77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7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10</xdr:row>
      <xdr:rowOff>161925</xdr:rowOff>
    </xdr:from>
    <xdr:ext cx="307182" cy="219075"/>
    <xdr:sp macro="" textlink="">
      <xdr:nvSpPr>
        <xdr:cNvPr id="77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8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11</xdr:row>
      <xdr:rowOff>161925</xdr:rowOff>
    </xdr:from>
    <xdr:ext cx="307182" cy="219075"/>
    <xdr:sp macro="" textlink="">
      <xdr:nvSpPr>
        <xdr:cNvPr id="77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9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11</xdr:row>
      <xdr:rowOff>161925</xdr:rowOff>
    </xdr:from>
    <xdr:ext cx="307182" cy="219075"/>
    <xdr:sp macro="" textlink="">
      <xdr:nvSpPr>
        <xdr:cNvPr id="77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A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12</xdr:row>
      <xdr:rowOff>161925</xdr:rowOff>
    </xdr:from>
    <xdr:ext cx="307182" cy="219075"/>
    <xdr:sp macro="" textlink="">
      <xdr:nvSpPr>
        <xdr:cNvPr id="77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B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12</xdr:row>
      <xdr:rowOff>161925</xdr:rowOff>
    </xdr:from>
    <xdr:ext cx="307182" cy="219075"/>
    <xdr:sp macro="" textlink="">
      <xdr:nvSpPr>
        <xdr:cNvPr id="78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C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13</xdr:row>
      <xdr:rowOff>161925</xdr:rowOff>
    </xdr:from>
    <xdr:ext cx="307182" cy="219075"/>
    <xdr:sp macro="" textlink="">
      <xdr:nvSpPr>
        <xdr:cNvPr id="78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D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13</xdr:row>
      <xdr:rowOff>161925</xdr:rowOff>
    </xdr:from>
    <xdr:ext cx="307182" cy="219075"/>
    <xdr:sp macro="" textlink="">
      <xdr:nvSpPr>
        <xdr:cNvPr id="78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E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14</xdr:row>
      <xdr:rowOff>161925</xdr:rowOff>
    </xdr:from>
    <xdr:ext cx="307182" cy="219075"/>
    <xdr:sp macro="" textlink="">
      <xdr:nvSpPr>
        <xdr:cNvPr id="78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F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14</xdr:row>
      <xdr:rowOff>161925</xdr:rowOff>
    </xdr:from>
    <xdr:ext cx="307182" cy="219075"/>
    <xdr:sp macro="" textlink="">
      <xdr:nvSpPr>
        <xdr:cNvPr id="78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0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15</xdr:row>
      <xdr:rowOff>161925</xdr:rowOff>
    </xdr:from>
    <xdr:ext cx="307182" cy="219075"/>
    <xdr:sp macro="" textlink="">
      <xdr:nvSpPr>
        <xdr:cNvPr id="78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1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15</xdr:row>
      <xdr:rowOff>161925</xdr:rowOff>
    </xdr:from>
    <xdr:ext cx="307182" cy="219075"/>
    <xdr:sp macro="" textlink="">
      <xdr:nvSpPr>
        <xdr:cNvPr id="78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2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16</xdr:row>
      <xdr:rowOff>161925</xdr:rowOff>
    </xdr:from>
    <xdr:ext cx="307182" cy="219075"/>
    <xdr:sp macro="" textlink="">
      <xdr:nvSpPr>
        <xdr:cNvPr id="78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3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16</xdr:row>
      <xdr:rowOff>161925</xdr:rowOff>
    </xdr:from>
    <xdr:ext cx="307182" cy="219075"/>
    <xdr:sp macro="" textlink="">
      <xdr:nvSpPr>
        <xdr:cNvPr id="78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4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17</xdr:row>
      <xdr:rowOff>161925</xdr:rowOff>
    </xdr:from>
    <xdr:ext cx="307182" cy="219075"/>
    <xdr:sp macro="" textlink="">
      <xdr:nvSpPr>
        <xdr:cNvPr id="78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5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17</xdr:row>
      <xdr:rowOff>161925</xdr:rowOff>
    </xdr:from>
    <xdr:ext cx="307182" cy="219075"/>
    <xdr:sp macro="" textlink="">
      <xdr:nvSpPr>
        <xdr:cNvPr id="79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6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18</xdr:row>
      <xdr:rowOff>161925</xdr:rowOff>
    </xdr:from>
    <xdr:ext cx="307182" cy="219075"/>
    <xdr:sp macro="" textlink="">
      <xdr:nvSpPr>
        <xdr:cNvPr id="79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7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18</xdr:row>
      <xdr:rowOff>161925</xdr:rowOff>
    </xdr:from>
    <xdr:ext cx="307182" cy="219075"/>
    <xdr:sp macro="" textlink="">
      <xdr:nvSpPr>
        <xdr:cNvPr id="79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8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19</xdr:row>
      <xdr:rowOff>161925</xdr:rowOff>
    </xdr:from>
    <xdr:ext cx="307182" cy="219075"/>
    <xdr:sp macro="" textlink="">
      <xdr:nvSpPr>
        <xdr:cNvPr id="79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9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19</xdr:row>
      <xdr:rowOff>161925</xdr:rowOff>
    </xdr:from>
    <xdr:ext cx="307182" cy="219075"/>
    <xdr:sp macro="" textlink="">
      <xdr:nvSpPr>
        <xdr:cNvPr id="79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A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20</xdr:row>
      <xdr:rowOff>161925</xdr:rowOff>
    </xdr:from>
    <xdr:ext cx="307182" cy="219075"/>
    <xdr:sp macro="" textlink="">
      <xdr:nvSpPr>
        <xdr:cNvPr id="79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B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20</xdr:row>
      <xdr:rowOff>161925</xdr:rowOff>
    </xdr:from>
    <xdr:ext cx="307182" cy="219075"/>
    <xdr:sp macro="" textlink="">
      <xdr:nvSpPr>
        <xdr:cNvPr id="79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C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21</xdr:row>
      <xdr:rowOff>161925</xdr:rowOff>
    </xdr:from>
    <xdr:ext cx="307182" cy="219075"/>
    <xdr:sp macro="" textlink="">
      <xdr:nvSpPr>
        <xdr:cNvPr id="79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D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21</xdr:row>
      <xdr:rowOff>161925</xdr:rowOff>
    </xdr:from>
    <xdr:ext cx="307182" cy="219075"/>
    <xdr:sp macro="" textlink="">
      <xdr:nvSpPr>
        <xdr:cNvPr id="79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E03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79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F03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6</xdr:col>
      <xdr:colOff>22622</xdr:colOff>
      <xdr:row>75</xdr:row>
      <xdr:rowOff>179784</xdr:rowOff>
    </xdr:from>
    <xdr:to>
      <xdr:col>6</xdr:col>
      <xdr:colOff>232172</xdr:colOff>
      <xdr:row>77</xdr:row>
      <xdr:rowOff>17859</xdr:rowOff>
    </xdr:to>
    <xdr:sp macro="" textlink="">
      <xdr:nvSpPr>
        <xdr:cNvPr id="2" name="Check Box 199" hidden="1">
          <a:extLst>
            <a:ext uri="{63B3BB69-23CF-44E3-9099-C40C66FF867C}">
              <a14:compatExt xmlns:a14="http://schemas.microsoft.com/office/drawing/2010/main" spid="_x0000_s1223"/>
            </a:ex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22621</xdr:colOff>
      <xdr:row>73</xdr:row>
      <xdr:rowOff>155971</xdr:rowOff>
    </xdr:from>
    <xdr:to>
      <xdr:col>6</xdr:col>
      <xdr:colOff>232171</xdr:colOff>
      <xdr:row>74</xdr:row>
      <xdr:rowOff>184546</xdr:rowOff>
    </xdr:to>
    <xdr:sp macro="" textlink="">
      <xdr:nvSpPr>
        <xdr:cNvPr id="3" name="Check Box 200" hidden="1">
          <a:extLst>
            <a:ext uri="{63B3BB69-23CF-44E3-9099-C40C66FF867C}">
              <a14:compatExt xmlns:a14="http://schemas.microsoft.com/office/drawing/2010/main" spid="_x0000_s1224"/>
            </a:ex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24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E04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24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DF04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24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004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27</xdr:row>
      <xdr:rowOff>161925</xdr:rowOff>
    </xdr:from>
    <xdr:ext cx="307182" cy="219075"/>
    <xdr:sp macro="" textlink="">
      <xdr:nvSpPr>
        <xdr:cNvPr id="124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104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25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204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25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3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24</xdr:row>
      <xdr:rowOff>161925</xdr:rowOff>
    </xdr:from>
    <xdr:ext cx="209550" cy="219075"/>
    <xdr:sp macro="" textlink="">
      <xdr:nvSpPr>
        <xdr:cNvPr id="4" name="Check Box 201" hidden="1">
          <a:extLst>
            <a:ext uri="{63B3BB69-23CF-44E3-9099-C40C66FF867C}">
              <a14:compatExt xmlns:a14="http://schemas.microsoft.com/office/drawing/2010/main" spid="_x0000_s1225"/>
            </a:ex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25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4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25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504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25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604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24</xdr:row>
      <xdr:rowOff>161925</xdr:rowOff>
    </xdr:from>
    <xdr:ext cx="209550" cy="219075"/>
    <xdr:sp macro="" textlink="">
      <xdr:nvSpPr>
        <xdr:cNvPr id="6" name="Check Box 202" hidden="1">
          <a:extLst>
            <a:ext uri="{63B3BB69-23CF-44E3-9099-C40C66FF867C}">
              <a14:compatExt xmlns:a14="http://schemas.microsoft.com/office/drawing/2010/main" spid="_x0000_s1226"/>
            </a:ex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25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7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26</xdr:row>
      <xdr:rowOff>161925</xdr:rowOff>
    </xdr:from>
    <xdr:ext cx="209550" cy="219075"/>
    <xdr:sp macro="" textlink="">
      <xdr:nvSpPr>
        <xdr:cNvPr id="7" name="Check Box 203" hidden="1">
          <a:extLst>
            <a:ext uri="{63B3BB69-23CF-44E3-9099-C40C66FF867C}">
              <a14:compatExt xmlns:a14="http://schemas.microsoft.com/office/drawing/2010/main" spid="_x0000_s1227"/>
            </a:ex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27</xdr:row>
      <xdr:rowOff>179784</xdr:rowOff>
    </xdr:from>
    <xdr:ext cx="209550" cy="219075"/>
    <xdr:sp macro="" textlink="">
      <xdr:nvSpPr>
        <xdr:cNvPr id="8" name="Check Box 204" hidden="1">
          <a:extLst>
            <a:ext uri="{63B3BB69-23CF-44E3-9099-C40C66FF867C}">
              <a14:compatExt xmlns:a14="http://schemas.microsoft.com/office/drawing/2010/main" spid="_x0000_s1228"/>
            </a:ex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25</xdr:row>
      <xdr:rowOff>155971</xdr:rowOff>
    </xdr:from>
    <xdr:ext cx="209550" cy="219075"/>
    <xdr:sp macro="" textlink="">
      <xdr:nvSpPr>
        <xdr:cNvPr id="9" name="Check Box 205" hidden="1">
          <a:extLst>
            <a:ext uri="{63B3BB69-23CF-44E3-9099-C40C66FF867C}">
              <a14:compatExt xmlns:a14="http://schemas.microsoft.com/office/drawing/2010/main" spid="_x0000_s1229"/>
            </a:ex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28</xdr:row>
      <xdr:rowOff>161925</xdr:rowOff>
    </xdr:from>
    <xdr:ext cx="307182" cy="219075"/>
    <xdr:sp macro="" textlink="">
      <xdr:nvSpPr>
        <xdr:cNvPr id="125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804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29</xdr:row>
      <xdr:rowOff>161925</xdr:rowOff>
    </xdr:from>
    <xdr:ext cx="307182" cy="219075"/>
    <xdr:sp macro="" textlink="">
      <xdr:nvSpPr>
        <xdr:cNvPr id="125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904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30</xdr:row>
      <xdr:rowOff>161925</xdr:rowOff>
    </xdr:from>
    <xdr:ext cx="307182" cy="219075"/>
    <xdr:sp macro="" textlink="">
      <xdr:nvSpPr>
        <xdr:cNvPr id="125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A04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31</xdr:row>
      <xdr:rowOff>161925</xdr:rowOff>
    </xdr:from>
    <xdr:ext cx="307182" cy="219075"/>
    <xdr:sp macro="" textlink="">
      <xdr:nvSpPr>
        <xdr:cNvPr id="125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B04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28</xdr:row>
      <xdr:rowOff>161925</xdr:rowOff>
    </xdr:from>
    <xdr:ext cx="307182" cy="219075"/>
    <xdr:sp macro="" textlink="">
      <xdr:nvSpPr>
        <xdr:cNvPr id="126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C04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28</xdr:row>
      <xdr:rowOff>161925</xdr:rowOff>
    </xdr:from>
    <xdr:ext cx="307182" cy="219075"/>
    <xdr:sp macro="" textlink="">
      <xdr:nvSpPr>
        <xdr:cNvPr id="126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D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28</xdr:row>
      <xdr:rowOff>161925</xdr:rowOff>
    </xdr:from>
    <xdr:ext cx="209550" cy="219075"/>
    <xdr:sp macro="" textlink="">
      <xdr:nvSpPr>
        <xdr:cNvPr id="10" name="Check Box 206" hidden="1">
          <a:extLst>
            <a:ext uri="{63B3BB69-23CF-44E3-9099-C40C66FF867C}">
              <a14:compatExt xmlns:a14="http://schemas.microsoft.com/office/drawing/2010/main" spid="_x0000_s1230"/>
            </a:ex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28</xdr:row>
      <xdr:rowOff>161925</xdr:rowOff>
    </xdr:from>
    <xdr:ext cx="307182" cy="219075"/>
    <xdr:sp macro="" textlink="">
      <xdr:nvSpPr>
        <xdr:cNvPr id="126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E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29</xdr:row>
      <xdr:rowOff>161925</xdr:rowOff>
    </xdr:from>
    <xdr:ext cx="307182" cy="219075"/>
    <xdr:sp macro="" textlink="">
      <xdr:nvSpPr>
        <xdr:cNvPr id="126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EF04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30</xdr:row>
      <xdr:rowOff>161925</xdr:rowOff>
    </xdr:from>
    <xdr:ext cx="307182" cy="219075"/>
    <xdr:sp macro="" textlink="">
      <xdr:nvSpPr>
        <xdr:cNvPr id="126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004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28</xdr:row>
      <xdr:rowOff>161925</xdr:rowOff>
    </xdr:from>
    <xdr:ext cx="209550" cy="219075"/>
    <xdr:sp macro="" textlink="">
      <xdr:nvSpPr>
        <xdr:cNvPr id="11" name="Check Box 207" hidden="1">
          <a:extLst>
            <a:ext uri="{63B3BB69-23CF-44E3-9099-C40C66FF867C}">
              <a14:compatExt xmlns:a14="http://schemas.microsoft.com/office/drawing/2010/main" spid="_x0000_s1231"/>
            </a:ex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30</xdr:row>
      <xdr:rowOff>161925</xdr:rowOff>
    </xdr:from>
    <xdr:ext cx="307182" cy="219075"/>
    <xdr:sp macro="" textlink="">
      <xdr:nvSpPr>
        <xdr:cNvPr id="126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1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30</xdr:row>
      <xdr:rowOff>161925</xdr:rowOff>
    </xdr:from>
    <xdr:ext cx="209550" cy="219075"/>
    <xdr:sp macro="" textlink="">
      <xdr:nvSpPr>
        <xdr:cNvPr id="12" name="Check Box 208" hidden="1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31</xdr:row>
      <xdr:rowOff>179784</xdr:rowOff>
    </xdr:from>
    <xdr:ext cx="209550" cy="219075"/>
    <xdr:sp macro="" textlink="">
      <xdr:nvSpPr>
        <xdr:cNvPr id="13" name="Check Box 209" hidden="1">
          <a:extLst>
            <a:ext uri="{63B3BB69-23CF-44E3-9099-C40C66FF867C}">
              <a14:compatExt xmlns:a14="http://schemas.microsoft.com/office/drawing/2010/main" spid="_x0000_s1233"/>
            </a:ex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29</xdr:row>
      <xdr:rowOff>155971</xdr:rowOff>
    </xdr:from>
    <xdr:ext cx="209550" cy="219075"/>
    <xdr:sp macro="" textlink="">
      <xdr:nvSpPr>
        <xdr:cNvPr id="14" name="Check Box 210" hidden="1">
          <a:extLst>
            <a:ext uri="{63B3BB69-23CF-44E3-9099-C40C66FF867C}">
              <a14:compatExt xmlns:a14="http://schemas.microsoft.com/office/drawing/2010/main" spid="_x0000_s1234"/>
            </a:ex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32</xdr:row>
      <xdr:rowOff>161925</xdr:rowOff>
    </xdr:from>
    <xdr:ext cx="307182" cy="219075"/>
    <xdr:sp macro="" textlink="">
      <xdr:nvSpPr>
        <xdr:cNvPr id="126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204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33</xdr:row>
      <xdr:rowOff>161925</xdr:rowOff>
    </xdr:from>
    <xdr:ext cx="307182" cy="219075"/>
    <xdr:sp macro="" textlink="">
      <xdr:nvSpPr>
        <xdr:cNvPr id="126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304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34</xdr:row>
      <xdr:rowOff>161925</xdr:rowOff>
    </xdr:from>
    <xdr:ext cx="307182" cy="219075"/>
    <xdr:sp macro="" textlink="">
      <xdr:nvSpPr>
        <xdr:cNvPr id="126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404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35</xdr:row>
      <xdr:rowOff>161925</xdr:rowOff>
    </xdr:from>
    <xdr:ext cx="307182" cy="219075"/>
    <xdr:sp macro="" textlink="">
      <xdr:nvSpPr>
        <xdr:cNvPr id="126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504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32</xdr:row>
      <xdr:rowOff>161925</xdr:rowOff>
    </xdr:from>
    <xdr:ext cx="307182" cy="219075"/>
    <xdr:sp macro="" textlink="">
      <xdr:nvSpPr>
        <xdr:cNvPr id="127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604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32</xdr:row>
      <xdr:rowOff>161925</xdr:rowOff>
    </xdr:from>
    <xdr:ext cx="307182" cy="219075"/>
    <xdr:sp macro="" textlink="">
      <xdr:nvSpPr>
        <xdr:cNvPr id="127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7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32</xdr:row>
      <xdr:rowOff>161925</xdr:rowOff>
    </xdr:from>
    <xdr:ext cx="209550" cy="219075"/>
    <xdr:sp macro="" textlink="">
      <xdr:nvSpPr>
        <xdr:cNvPr id="15" name="Check Box 211" hidden="1">
          <a:extLst>
            <a:ext uri="{63B3BB69-23CF-44E3-9099-C40C66FF867C}">
              <a14:compatExt xmlns:a14="http://schemas.microsoft.com/office/drawing/2010/main" spid="_x0000_s1235"/>
            </a:ex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32</xdr:row>
      <xdr:rowOff>161925</xdr:rowOff>
    </xdr:from>
    <xdr:ext cx="307182" cy="219075"/>
    <xdr:sp macro="" textlink="">
      <xdr:nvSpPr>
        <xdr:cNvPr id="127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8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33</xdr:row>
      <xdr:rowOff>161925</xdr:rowOff>
    </xdr:from>
    <xdr:ext cx="307182" cy="219075"/>
    <xdr:sp macro="" textlink="">
      <xdr:nvSpPr>
        <xdr:cNvPr id="127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904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34</xdr:row>
      <xdr:rowOff>161925</xdr:rowOff>
    </xdr:from>
    <xdr:ext cx="307182" cy="219075"/>
    <xdr:sp macro="" textlink="">
      <xdr:nvSpPr>
        <xdr:cNvPr id="127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A04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32</xdr:row>
      <xdr:rowOff>161925</xdr:rowOff>
    </xdr:from>
    <xdr:ext cx="209550" cy="219075"/>
    <xdr:sp macro="" textlink="">
      <xdr:nvSpPr>
        <xdr:cNvPr id="16" name="Check Box 212" hidden="1">
          <a:extLst>
            <a:ext uri="{63B3BB69-23CF-44E3-9099-C40C66FF867C}">
              <a14:compatExt xmlns:a14="http://schemas.microsoft.com/office/drawing/2010/main" spid="_x0000_s1236"/>
            </a:ex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34</xdr:row>
      <xdr:rowOff>161925</xdr:rowOff>
    </xdr:from>
    <xdr:ext cx="307182" cy="219075"/>
    <xdr:sp macro="" textlink="">
      <xdr:nvSpPr>
        <xdr:cNvPr id="127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B04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34</xdr:row>
      <xdr:rowOff>161925</xdr:rowOff>
    </xdr:from>
    <xdr:ext cx="209550" cy="219075"/>
    <xdr:sp macro="" textlink="">
      <xdr:nvSpPr>
        <xdr:cNvPr id="17" name="Check Box 213" hidden="1">
          <a:extLst>
            <a:ext uri="{63B3BB69-23CF-44E3-9099-C40C66FF867C}">
              <a14:compatExt xmlns:a14="http://schemas.microsoft.com/office/drawing/2010/main" spid="_x0000_s1237"/>
            </a:ex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35</xdr:row>
      <xdr:rowOff>179784</xdr:rowOff>
    </xdr:from>
    <xdr:ext cx="209550" cy="219075"/>
    <xdr:sp macro="" textlink="">
      <xdr:nvSpPr>
        <xdr:cNvPr id="18" name="Check Box 214" hidden="1">
          <a:extLst>
            <a:ext uri="{63B3BB69-23CF-44E3-9099-C40C66FF867C}">
              <a14:compatExt xmlns:a14="http://schemas.microsoft.com/office/drawing/2010/main" spid="_x0000_s1238"/>
            </a:ex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33</xdr:row>
      <xdr:rowOff>155971</xdr:rowOff>
    </xdr:from>
    <xdr:ext cx="209550" cy="219075"/>
    <xdr:sp macro="" textlink="">
      <xdr:nvSpPr>
        <xdr:cNvPr id="19" name="Check Box 215" hidden="1">
          <a:extLst>
            <a:ext uri="{63B3BB69-23CF-44E3-9099-C40C66FF867C}">
              <a14:compatExt xmlns:a14="http://schemas.microsoft.com/office/drawing/2010/main" spid="_x0000_s1239"/>
            </a:ex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127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C04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37</xdr:row>
      <xdr:rowOff>161925</xdr:rowOff>
    </xdr:from>
    <xdr:ext cx="307182" cy="219075"/>
    <xdr:sp macro="" textlink="">
      <xdr:nvSpPr>
        <xdr:cNvPr id="127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D04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38</xdr:row>
      <xdr:rowOff>161925</xdr:rowOff>
    </xdr:from>
    <xdr:ext cx="307182" cy="219075"/>
    <xdr:sp macro="" textlink="">
      <xdr:nvSpPr>
        <xdr:cNvPr id="127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E04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39</xdr:row>
      <xdr:rowOff>161925</xdr:rowOff>
    </xdr:from>
    <xdr:ext cx="307182" cy="219075"/>
    <xdr:sp macro="" textlink="">
      <xdr:nvSpPr>
        <xdr:cNvPr id="127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FF04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128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0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128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1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36</xdr:row>
      <xdr:rowOff>161925</xdr:rowOff>
    </xdr:from>
    <xdr:ext cx="209550" cy="219075"/>
    <xdr:sp macro="" textlink="">
      <xdr:nvSpPr>
        <xdr:cNvPr id="20" name="Check Box 216" hidden="1">
          <a:extLst>
            <a:ext uri="{63B3BB69-23CF-44E3-9099-C40C66FF867C}">
              <a14:compatExt xmlns:a14="http://schemas.microsoft.com/office/drawing/2010/main" spid="_x0000_s1240"/>
            </a:ex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36</xdr:row>
      <xdr:rowOff>161925</xdr:rowOff>
    </xdr:from>
    <xdr:ext cx="307182" cy="219075"/>
    <xdr:sp macro="" textlink="">
      <xdr:nvSpPr>
        <xdr:cNvPr id="128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2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37</xdr:row>
      <xdr:rowOff>161925</xdr:rowOff>
    </xdr:from>
    <xdr:ext cx="307182" cy="219075"/>
    <xdr:sp macro="" textlink="">
      <xdr:nvSpPr>
        <xdr:cNvPr id="128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3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38</xdr:row>
      <xdr:rowOff>161925</xdr:rowOff>
    </xdr:from>
    <xdr:ext cx="307182" cy="219075"/>
    <xdr:sp macro="" textlink="">
      <xdr:nvSpPr>
        <xdr:cNvPr id="128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4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36</xdr:row>
      <xdr:rowOff>161925</xdr:rowOff>
    </xdr:from>
    <xdr:ext cx="209550" cy="219075"/>
    <xdr:sp macro="" textlink="">
      <xdr:nvSpPr>
        <xdr:cNvPr id="21" name="Check Box 217" hidden="1">
          <a:extLst>
            <a:ext uri="{63B3BB69-23CF-44E3-9099-C40C66FF867C}">
              <a14:compatExt xmlns:a14="http://schemas.microsoft.com/office/drawing/2010/main" spid="_x0000_s1241"/>
            </a:ex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38</xdr:row>
      <xdr:rowOff>161925</xdr:rowOff>
    </xdr:from>
    <xdr:ext cx="307182" cy="219075"/>
    <xdr:sp macro="" textlink="">
      <xdr:nvSpPr>
        <xdr:cNvPr id="128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5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38</xdr:row>
      <xdr:rowOff>161925</xdr:rowOff>
    </xdr:from>
    <xdr:ext cx="209550" cy="219075"/>
    <xdr:sp macro="" textlink="">
      <xdr:nvSpPr>
        <xdr:cNvPr id="22" name="Check Box 218" hidden="1">
          <a:extLst>
            <a:ext uri="{63B3BB69-23CF-44E3-9099-C40C66FF867C}">
              <a14:compatExt xmlns:a14="http://schemas.microsoft.com/office/drawing/2010/main" spid="_x0000_s1242"/>
            </a:ex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39</xdr:row>
      <xdr:rowOff>179784</xdr:rowOff>
    </xdr:from>
    <xdr:ext cx="209550" cy="219075"/>
    <xdr:sp macro="" textlink="">
      <xdr:nvSpPr>
        <xdr:cNvPr id="23" name="Check Box 219" hidden="1">
          <a:extLst>
            <a:ext uri="{63B3BB69-23CF-44E3-9099-C40C66FF867C}">
              <a14:compatExt xmlns:a14="http://schemas.microsoft.com/office/drawing/2010/main" spid="_x0000_s1243"/>
            </a:ex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37</xdr:row>
      <xdr:rowOff>155971</xdr:rowOff>
    </xdr:from>
    <xdr:ext cx="209550" cy="219075"/>
    <xdr:sp macro="" textlink="">
      <xdr:nvSpPr>
        <xdr:cNvPr id="24" name="Check Box 220" hidden="1">
          <a:extLst>
            <a:ext uri="{63B3BB69-23CF-44E3-9099-C40C66FF867C}">
              <a14:compatExt xmlns:a14="http://schemas.microsoft.com/office/drawing/2010/main" spid="_x0000_s1244"/>
            </a:ex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128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6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41</xdr:row>
      <xdr:rowOff>161925</xdr:rowOff>
    </xdr:from>
    <xdr:ext cx="307182" cy="219075"/>
    <xdr:sp macro="" textlink="">
      <xdr:nvSpPr>
        <xdr:cNvPr id="128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7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42</xdr:row>
      <xdr:rowOff>161925</xdr:rowOff>
    </xdr:from>
    <xdr:ext cx="307182" cy="219075"/>
    <xdr:sp macro="" textlink="">
      <xdr:nvSpPr>
        <xdr:cNvPr id="128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8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43</xdr:row>
      <xdr:rowOff>161925</xdr:rowOff>
    </xdr:from>
    <xdr:ext cx="307182" cy="219075"/>
    <xdr:sp macro="" textlink="">
      <xdr:nvSpPr>
        <xdr:cNvPr id="128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9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129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A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129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B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40</xdr:row>
      <xdr:rowOff>161925</xdr:rowOff>
    </xdr:from>
    <xdr:ext cx="209550" cy="219075"/>
    <xdr:sp macro="" textlink="">
      <xdr:nvSpPr>
        <xdr:cNvPr id="25" name="Check Box 221" hidden="1">
          <a:extLst>
            <a:ext uri="{63B3BB69-23CF-44E3-9099-C40C66FF867C}">
              <a14:compatExt xmlns:a14="http://schemas.microsoft.com/office/drawing/2010/main" spid="_x0000_s1245"/>
            </a:ex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40</xdr:row>
      <xdr:rowOff>161925</xdr:rowOff>
    </xdr:from>
    <xdr:ext cx="307182" cy="219075"/>
    <xdr:sp macro="" textlink="">
      <xdr:nvSpPr>
        <xdr:cNvPr id="129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C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41</xdr:row>
      <xdr:rowOff>161925</xdr:rowOff>
    </xdr:from>
    <xdr:ext cx="307182" cy="219075"/>
    <xdr:sp macro="" textlink="">
      <xdr:nvSpPr>
        <xdr:cNvPr id="129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D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42</xdr:row>
      <xdr:rowOff>161925</xdr:rowOff>
    </xdr:from>
    <xdr:ext cx="307182" cy="219075"/>
    <xdr:sp macro="" textlink="">
      <xdr:nvSpPr>
        <xdr:cNvPr id="129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E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40</xdr:row>
      <xdr:rowOff>161925</xdr:rowOff>
    </xdr:from>
    <xdr:ext cx="209550" cy="219075"/>
    <xdr:sp macro="" textlink="">
      <xdr:nvSpPr>
        <xdr:cNvPr id="26" name="Check Box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42</xdr:row>
      <xdr:rowOff>161925</xdr:rowOff>
    </xdr:from>
    <xdr:ext cx="307182" cy="219075"/>
    <xdr:sp macro="" textlink="">
      <xdr:nvSpPr>
        <xdr:cNvPr id="129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0F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42</xdr:row>
      <xdr:rowOff>161925</xdr:rowOff>
    </xdr:from>
    <xdr:ext cx="209550" cy="219075"/>
    <xdr:sp macro="" textlink="">
      <xdr:nvSpPr>
        <xdr:cNvPr id="27" name="Check Box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43</xdr:row>
      <xdr:rowOff>179784</xdr:rowOff>
    </xdr:from>
    <xdr:ext cx="209550" cy="219075"/>
    <xdr:sp macro="" textlink="">
      <xdr:nvSpPr>
        <xdr:cNvPr id="28" name="Check Box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41</xdr:row>
      <xdr:rowOff>155971</xdr:rowOff>
    </xdr:from>
    <xdr:ext cx="209550" cy="219075"/>
    <xdr:sp macro="" textlink="">
      <xdr:nvSpPr>
        <xdr:cNvPr id="29" name="Check Box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129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0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45</xdr:row>
      <xdr:rowOff>161925</xdr:rowOff>
    </xdr:from>
    <xdr:ext cx="307182" cy="219075"/>
    <xdr:sp macro="" textlink="">
      <xdr:nvSpPr>
        <xdr:cNvPr id="129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1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46</xdr:row>
      <xdr:rowOff>161925</xdr:rowOff>
    </xdr:from>
    <xdr:ext cx="307182" cy="219075"/>
    <xdr:sp macro="" textlink="">
      <xdr:nvSpPr>
        <xdr:cNvPr id="129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2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47</xdr:row>
      <xdr:rowOff>161925</xdr:rowOff>
    </xdr:from>
    <xdr:ext cx="307182" cy="219075"/>
    <xdr:sp macro="" textlink="">
      <xdr:nvSpPr>
        <xdr:cNvPr id="129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3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130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4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130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5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44</xdr:row>
      <xdr:rowOff>161925</xdr:rowOff>
    </xdr:from>
    <xdr:ext cx="209550" cy="219075"/>
    <xdr:sp macro="" textlink="">
      <xdr:nvSpPr>
        <xdr:cNvPr id="30" name="Check Box 226" hidden="1">
          <a:extLst>
            <a:ext uri="{63B3BB69-23CF-44E3-9099-C40C66FF867C}">
              <a14:compatExt xmlns:a14="http://schemas.microsoft.com/office/drawing/2010/main" spid="_x0000_s1250"/>
            </a:ex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44</xdr:row>
      <xdr:rowOff>161925</xdr:rowOff>
    </xdr:from>
    <xdr:ext cx="307182" cy="219075"/>
    <xdr:sp macro="" textlink="">
      <xdr:nvSpPr>
        <xdr:cNvPr id="130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6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45</xdr:row>
      <xdr:rowOff>161925</xdr:rowOff>
    </xdr:from>
    <xdr:ext cx="307182" cy="219075"/>
    <xdr:sp macro="" textlink="">
      <xdr:nvSpPr>
        <xdr:cNvPr id="130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7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46</xdr:row>
      <xdr:rowOff>161925</xdr:rowOff>
    </xdr:from>
    <xdr:ext cx="307182" cy="219075"/>
    <xdr:sp macro="" textlink="">
      <xdr:nvSpPr>
        <xdr:cNvPr id="130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8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44</xdr:row>
      <xdr:rowOff>161925</xdr:rowOff>
    </xdr:from>
    <xdr:ext cx="209550" cy="219075"/>
    <xdr:sp macro="" textlink="">
      <xdr:nvSpPr>
        <xdr:cNvPr id="31" name="Check Box 227" hidden="1">
          <a:extLst>
            <a:ext uri="{63B3BB69-23CF-44E3-9099-C40C66FF867C}">
              <a14:compatExt xmlns:a14="http://schemas.microsoft.com/office/drawing/2010/main" spid="_x0000_s1251"/>
            </a:ex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46</xdr:row>
      <xdr:rowOff>161925</xdr:rowOff>
    </xdr:from>
    <xdr:ext cx="307182" cy="219075"/>
    <xdr:sp macro="" textlink="">
      <xdr:nvSpPr>
        <xdr:cNvPr id="130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9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46</xdr:row>
      <xdr:rowOff>161925</xdr:rowOff>
    </xdr:from>
    <xdr:ext cx="209550" cy="219075"/>
    <xdr:sp macro="" textlink="">
      <xdr:nvSpPr>
        <xdr:cNvPr id="32" name="Check Box 228" hidden="1">
          <a:extLst>
            <a:ext uri="{63B3BB69-23CF-44E3-9099-C40C66FF867C}">
              <a14:compatExt xmlns:a14="http://schemas.microsoft.com/office/drawing/2010/main" spid="_x0000_s1252"/>
            </a:ex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47</xdr:row>
      <xdr:rowOff>179784</xdr:rowOff>
    </xdr:from>
    <xdr:ext cx="209550" cy="219075"/>
    <xdr:sp macro="" textlink="">
      <xdr:nvSpPr>
        <xdr:cNvPr id="33" name="Check Box 229" hidden="1">
          <a:extLst>
            <a:ext uri="{63B3BB69-23CF-44E3-9099-C40C66FF867C}">
              <a14:compatExt xmlns:a14="http://schemas.microsoft.com/office/drawing/2010/main" spid="_x0000_s1253"/>
            </a:ex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45</xdr:row>
      <xdr:rowOff>155971</xdr:rowOff>
    </xdr:from>
    <xdr:ext cx="209550" cy="219075"/>
    <xdr:sp macro="" textlink="">
      <xdr:nvSpPr>
        <xdr:cNvPr id="34" name="Check Box 230" hidden="1">
          <a:extLst>
            <a:ext uri="{63B3BB69-23CF-44E3-9099-C40C66FF867C}">
              <a14:compatExt xmlns:a14="http://schemas.microsoft.com/office/drawing/2010/main" spid="_x0000_s1254"/>
            </a:ex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130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A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49</xdr:row>
      <xdr:rowOff>161925</xdr:rowOff>
    </xdr:from>
    <xdr:ext cx="307182" cy="219075"/>
    <xdr:sp macro="" textlink="">
      <xdr:nvSpPr>
        <xdr:cNvPr id="130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B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50</xdr:row>
      <xdr:rowOff>161925</xdr:rowOff>
    </xdr:from>
    <xdr:ext cx="307182" cy="219075"/>
    <xdr:sp macro="" textlink="">
      <xdr:nvSpPr>
        <xdr:cNvPr id="130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C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51</xdr:row>
      <xdr:rowOff>161925</xdr:rowOff>
    </xdr:from>
    <xdr:ext cx="307182" cy="219075"/>
    <xdr:sp macro="" textlink="">
      <xdr:nvSpPr>
        <xdr:cNvPr id="130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D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131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E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131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1F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48</xdr:row>
      <xdr:rowOff>161925</xdr:rowOff>
    </xdr:from>
    <xdr:ext cx="209550" cy="219075"/>
    <xdr:sp macro="" textlink="">
      <xdr:nvSpPr>
        <xdr:cNvPr id="35" name="Check Box 231" hidden="1">
          <a:extLst>
            <a:ext uri="{63B3BB69-23CF-44E3-9099-C40C66FF867C}">
              <a14:compatExt xmlns:a14="http://schemas.microsoft.com/office/drawing/2010/main" spid="_x0000_s1255"/>
            </a:ex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48</xdr:row>
      <xdr:rowOff>161925</xdr:rowOff>
    </xdr:from>
    <xdr:ext cx="307182" cy="219075"/>
    <xdr:sp macro="" textlink="">
      <xdr:nvSpPr>
        <xdr:cNvPr id="131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0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49</xdr:row>
      <xdr:rowOff>161925</xdr:rowOff>
    </xdr:from>
    <xdr:ext cx="307182" cy="219075"/>
    <xdr:sp macro="" textlink="">
      <xdr:nvSpPr>
        <xdr:cNvPr id="131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1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50</xdr:row>
      <xdr:rowOff>161925</xdr:rowOff>
    </xdr:from>
    <xdr:ext cx="307182" cy="219075"/>
    <xdr:sp macro="" textlink="">
      <xdr:nvSpPr>
        <xdr:cNvPr id="131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2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48</xdr:row>
      <xdr:rowOff>161925</xdr:rowOff>
    </xdr:from>
    <xdr:ext cx="209550" cy="219075"/>
    <xdr:sp macro="" textlink="">
      <xdr:nvSpPr>
        <xdr:cNvPr id="36" name="Check Box 232" hidden="1">
          <a:extLst>
            <a:ext uri="{63B3BB69-23CF-44E3-9099-C40C66FF867C}">
              <a14:compatExt xmlns:a14="http://schemas.microsoft.com/office/drawing/2010/main" spid="_x0000_s1256"/>
            </a:ex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50</xdr:row>
      <xdr:rowOff>161925</xdr:rowOff>
    </xdr:from>
    <xdr:ext cx="307182" cy="219075"/>
    <xdr:sp macro="" textlink="">
      <xdr:nvSpPr>
        <xdr:cNvPr id="131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3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50</xdr:row>
      <xdr:rowOff>161925</xdr:rowOff>
    </xdr:from>
    <xdr:ext cx="209550" cy="219075"/>
    <xdr:sp macro="" textlink="">
      <xdr:nvSpPr>
        <xdr:cNvPr id="37" name="Check Box 233" hidden="1">
          <a:extLst>
            <a:ext uri="{63B3BB69-23CF-44E3-9099-C40C66FF867C}">
              <a14:compatExt xmlns:a14="http://schemas.microsoft.com/office/drawing/2010/main" spid="_x0000_s1257"/>
            </a:ex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51</xdr:row>
      <xdr:rowOff>179784</xdr:rowOff>
    </xdr:from>
    <xdr:ext cx="209550" cy="219075"/>
    <xdr:sp macro="" textlink="">
      <xdr:nvSpPr>
        <xdr:cNvPr id="38" name="Check Box 234" hidden="1">
          <a:extLst>
            <a:ext uri="{63B3BB69-23CF-44E3-9099-C40C66FF867C}">
              <a14:compatExt xmlns:a14="http://schemas.microsoft.com/office/drawing/2010/main" spid="_x0000_s1258"/>
            </a:ex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49</xdr:row>
      <xdr:rowOff>155971</xdr:rowOff>
    </xdr:from>
    <xdr:ext cx="209550" cy="219075"/>
    <xdr:sp macro="" textlink="">
      <xdr:nvSpPr>
        <xdr:cNvPr id="39" name="Check Box 235" hidden="1">
          <a:extLst>
            <a:ext uri="{63B3BB69-23CF-44E3-9099-C40C66FF867C}">
              <a14:compatExt xmlns:a14="http://schemas.microsoft.com/office/drawing/2010/main" spid="_x0000_s1259"/>
            </a:ex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131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4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53</xdr:row>
      <xdr:rowOff>161925</xdr:rowOff>
    </xdr:from>
    <xdr:ext cx="307182" cy="219075"/>
    <xdr:sp macro="" textlink="">
      <xdr:nvSpPr>
        <xdr:cNvPr id="131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5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54</xdr:row>
      <xdr:rowOff>161925</xdr:rowOff>
    </xdr:from>
    <xdr:ext cx="307182" cy="219075"/>
    <xdr:sp macro="" textlink="">
      <xdr:nvSpPr>
        <xdr:cNvPr id="131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6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55</xdr:row>
      <xdr:rowOff>161925</xdr:rowOff>
    </xdr:from>
    <xdr:ext cx="307182" cy="219075"/>
    <xdr:sp macro="" textlink="">
      <xdr:nvSpPr>
        <xdr:cNvPr id="131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7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132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8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132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9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52</xdr:row>
      <xdr:rowOff>161925</xdr:rowOff>
    </xdr:from>
    <xdr:ext cx="209550" cy="219075"/>
    <xdr:sp macro="" textlink="">
      <xdr:nvSpPr>
        <xdr:cNvPr id="40" name="Check Box 236" hidden="1">
          <a:extLst>
            <a:ext uri="{63B3BB69-23CF-44E3-9099-C40C66FF867C}">
              <a14:compatExt xmlns:a14="http://schemas.microsoft.com/office/drawing/2010/main" spid="_x0000_s1260"/>
            </a:ex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52</xdr:row>
      <xdr:rowOff>161925</xdr:rowOff>
    </xdr:from>
    <xdr:ext cx="307182" cy="219075"/>
    <xdr:sp macro="" textlink="">
      <xdr:nvSpPr>
        <xdr:cNvPr id="132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A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53</xdr:row>
      <xdr:rowOff>161925</xdr:rowOff>
    </xdr:from>
    <xdr:ext cx="307182" cy="219075"/>
    <xdr:sp macro="" textlink="">
      <xdr:nvSpPr>
        <xdr:cNvPr id="132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B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54</xdr:row>
      <xdr:rowOff>161925</xdr:rowOff>
    </xdr:from>
    <xdr:ext cx="307182" cy="219075"/>
    <xdr:sp macro="" textlink="">
      <xdr:nvSpPr>
        <xdr:cNvPr id="132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C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52</xdr:row>
      <xdr:rowOff>161925</xdr:rowOff>
    </xdr:from>
    <xdr:ext cx="209550" cy="219075"/>
    <xdr:sp macro="" textlink="">
      <xdr:nvSpPr>
        <xdr:cNvPr id="41" name="Check Box 237" hidden="1">
          <a:extLst>
            <a:ext uri="{63B3BB69-23CF-44E3-9099-C40C66FF867C}">
              <a14:compatExt xmlns:a14="http://schemas.microsoft.com/office/drawing/2010/main" spid="_x0000_s1261"/>
            </a:ex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54</xdr:row>
      <xdr:rowOff>161925</xdr:rowOff>
    </xdr:from>
    <xdr:ext cx="307182" cy="219075"/>
    <xdr:sp macro="" textlink="">
      <xdr:nvSpPr>
        <xdr:cNvPr id="132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D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54</xdr:row>
      <xdr:rowOff>161925</xdr:rowOff>
    </xdr:from>
    <xdr:ext cx="209550" cy="219075"/>
    <xdr:sp macro="" textlink="">
      <xdr:nvSpPr>
        <xdr:cNvPr id="42" name="Check Box 238" hidden="1">
          <a:extLst>
            <a:ext uri="{63B3BB69-23CF-44E3-9099-C40C66FF867C}">
              <a14:compatExt xmlns:a14="http://schemas.microsoft.com/office/drawing/2010/main" spid="_x0000_s1262"/>
            </a:ex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55</xdr:row>
      <xdr:rowOff>179784</xdr:rowOff>
    </xdr:from>
    <xdr:ext cx="209550" cy="219075"/>
    <xdr:sp macro="" textlink="">
      <xdr:nvSpPr>
        <xdr:cNvPr id="43" name="Check Box 239" hidden="1">
          <a:extLst>
            <a:ext uri="{63B3BB69-23CF-44E3-9099-C40C66FF867C}">
              <a14:compatExt xmlns:a14="http://schemas.microsoft.com/office/drawing/2010/main" spid="_x0000_s1263"/>
            </a:ex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53</xdr:row>
      <xdr:rowOff>155971</xdr:rowOff>
    </xdr:from>
    <xdr:ext cx="209550" cy="219075"/>
    <xdr:sp macro="" textlink="">
      <xdr:nvSpPr>
        <xdr:cNvPr id="44" name="Check Box 240" hidden="1">
          <a:extLst>
            <a:ext uri="{63B3BB69-23CF-44E3-9099-C40C66FF867C}">
              <a14:compatExt xmlns:a14="http://schemas.microsoft.com/office/drawing/2010/main" spid="_x0000_s1264"/>
            </a:ex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132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E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57</xdr:row>
      <xdr:rowOff>161925</xdr:rowOff>
    </xdr:from>
    <xdr:ext cx="307182" cy="219075"/>
    <xdr:sp macro="" textlink="">
      <xdr:nvSpPr>
        <xdr:cNvPr id="132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2F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58</xdr:row>
      <xdr:rowOff>161925</xdr:rowOff>
    </xdr:from>
    <xdr:ext cx="307182" cy="219075"/>
    <xdr:sp macro="" textlink="">
      <xdr:nvSpPr>
        <xdr:cNvPr id="132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0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59</xdr:row>
      <xdr:rowOff>161925</xdr:rowOff>
    </xdr:from>
    <xdr:ext cx="307182" cy="219075"/>
    <xdr:sp macro="" textlink="">
      <xdr:nvSpPr>
        <xdr:cNvPr id="132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1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133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2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133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3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56</xdr:row>
      <xdr:rowOff>161925</xdr:rowOff>
    </xdr:from>
    <xdr:ext cx="209550" cy="219075"/>
    <xdr:sp macro="" textlink="">
      <xdr:nvSpPr>
        <xdr:cNvPr id="45" name="Check Box 241" hidden="1">
          <a:extLst>
            <a:ext uri="{63B3BB69-23CF-44E3-9099-C40C66FF867C}">
              <a14:compatExt xmlns:a14="http://schemas.microsoft.com/office/drawing/2010/main" spid="_x0000_s1265"/>
            </a:ex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56</xdr:row>
      <xdr:rowOff>161925</xdr:rowOff>
    </xdr:from>
    <xdr:ext cx="307182" cy="219075"/>
    <xdr:sp macro="" textlink="">
      <xdr:nvSpPr>
        <xdr:cNvPr id="133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4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57</xdr:row>
      <xdr:rowOff>161925</xdr:rowOff>
    </xdr:from>
    <xdr:ext cx="307182" cy="219075"/>
    <xdr:sp macro="" textlink="">
      <xdr:nvSpPr>
        <xdr:cNvPr id="133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5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58</xdr:row>
      <xdr:rowOff>161925</xdr:rowOff>
    </xdr:from>
    <xdr:ext cx="307182" cy="219075"/>
    <xdr:sp macro="" textlink="">
      <xdr:nvSpPr>
        <xdr:cNvPr id="133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6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56</xdr:row>
      <xdr:rowOff>161925</xdr:rowOff>
    </xdr:from>
    <xdr:ext cx="209550" cy="219075"/>
    <xdr:sp macro="" textlink="">
      <xdr:nvSpPr>
        <xdr:cNvPr id="46" name="Check Box 242" hidden="1">
          <a:extLst>
            <a:ext uri="{63B3BB69-23CF-44E3-9099-C40C66FF867C}">
              <a14:compatExt xmlns:a14="http://schemas.microsoft.com/office/drawing/2010/main" spid="_x0000_s1266"/>
            </a:ex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58</xdr:row>
      <xdr:rowOff>161925</xdr:rowOff>
    </xdr:from>
    <xdr:ext cx="307182" cy="219075"/>
    <xdr:sp macro="" textlink="">
      <xdr:nvSpPr>
        <xdr:cNvPr id="133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7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58</xdr:row>
      <xdr:rowOff>161925</xdr:rowOff>
    </xdr:from>
    <xdr:ext cx="209550" cy="219075"/>
    <xdr:sp macro="" textlink="">
      <xdr:nvSpPr>
        <xdr:cNvPr id="48" name="Check Box 243" hidden="1">
          <a:extLst>
            <a:ext uri="{63B3BB69-23CF-44E3-9099-C40C66FF867C}">
              <a14:compatExt xmlns:a14="http://schemas.microsoft.com/office/drawing/2010/main" spid="_x0000_s1267"/>
            </a:ex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59</xdr:row>
      <xdr:rowOff>179784</xdr:rowOff>
    </xdr:from>
    <xdr:ext cx="209550" cy="219075"/>
    <xdr:sp macro="" textlink="">
      <xdr:nvSpPr>
        <xdr:cNvPr id="49" name="Check Box 244" hidden="1">
          <a:extLst>
            <a:ext uri="{63B3BB69-23CF-44E3-9099-C40C66FF867C}">
              <a14:compatExt xmlns:a14="http://schemas.microsoft.com/office/drawing/2010/main" spid="_x0000_s1268"/>
            </a:ex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57</xdr:row>
      <xdr:rowOff>155971</xdr:rowOff>
    </xdr:from>
    <xdr:ext cx="209550" cy="219075"/>
    <xdr:sp macro="" textlink="">
      <xdr:nvSpPr>
        <xdr:cNvPr id="50" name="Check Box 245" hidden="1">
          <a:extLst>
            <a:ext uri="{63B3BB69-23CF-44E3-9099-C40C66FF867C}">
              <a14:compatExt xmlns:a14="http://schemas.microsoft.com/office/drawing/2010/main" spid="_x0000_s1269"/>
            </a:ex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133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8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61</xdr:row>
      <xdr:rowOff>161925</xdr:rowOff>
    </xdr:from>
    <xdr:ext cx="307182" cy="219075"/>
    <xdr:sp macro="" textlink="">
      <xdr:nvSpPr>
        <xdr:cNvPr id="133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9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62</xdr:row>
      <xdr:rowOff>161925</xdr:rowOff>
    </xdr:from>
    <xdr:ext cx="307182" cy="219075"/>
    <xdr:sp macro="" textlink="">
      <xdr:nvSpPr>
        <xdr:cNvPr id="133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A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63</xdr:row>
      <xdr:rowOff>161925</xdr:rowOff>
    </xdr:from>
    <xdr:ext cx="307182" cy="219075"/>
    <xdr:sp macro="" textlink="">
      <xdr:nvSpPr>
        <xdr:cNvPr id="133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B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134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C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134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D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60</xdr:row>
      <xdr:rowOff>161925</xdr:rowOff>
    </xdr:from>
    <xdr:ext cx="209550" cy="219075"/>
    <xdr:sp macro="" textlink="">
      <xdr:nvSpPr>
        <xdr:cNvPr id="51" name="Check Box 246" hidden="1">
          <a:extLst>
            <a:ext uri="{63B3BB69-23CF-44E3-9099-C40C66FF867C}">
              <a14:compatExt xmlns:a14="http://schemas.microsoft.com/office/drawing/2010/main" spid="_x0000_s1270"/>
            </a:ex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60</xdr:row>
      <xdr:rowOff>161925</xdr:rowOff>
    </xdr:from>
    <xdr:ext cx="307182" cy="219075"/>
    <xdr:sp macro="" textlink="">
      <xdr:nvSpPr>
        <xdr:cNvPr id="134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E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61</xdr:row>
      <xdr:rowOff>161925</xdr:rowOff>
    </xdr:from>
    <xdr:ext cx="307182" cy="219075"/>
    <xdr:sp macro="" textlink="">
      <xdr:nvSpPr>
        <xdr:cNvPr id="134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3F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62</xdr:row>
      <xdr:rowOff>161925</xdr:rowOff>
    </xdr:from>
    <xdr:ext cx="307182" cy="219075"/>
    <xdr:sp macro="" textlink="">
      <xdr:nvSpPr>
        <xdr:cNvPr id="134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0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60</xdr:row>
      <xdr:rowOff>161925</xdr:rowOff>
    </xdr:from>
    <xdr:ext cx="209550" cy="219075"/>
    <xdr:sp macro="" textlink="">
      <xdr:nvSpPr>
        <xdr:cNvPr id="52" name="Check Box 247" hidden="1">
          <a:extLst>
            <a:ext uri="{63B3BB69-23CF-44E3-9099-C40C66FF867C}">
              <a14:compatExt xmlns:a14="http://schemas.microsoft.com/office/drawing/2010/main" spid="_x0000_s1271"/>
            </a:ex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62</xdr:row>
      <xdr:rowOff>161925</xdr:rowOff>
    </xdr:from>
    <xdr:ext cx="307182" cy="219075"/>
    <xdr:sp macro="" textlink="">
      <xdr:nvSpPr>
        <xdr:cNvPr id="134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1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62</xdr:row>
      <xdr:rowOff>161925</xdr:rowOff>
    </xdr:from>
    <xdr:ext cx="209550" cy="219075"/>
    <xdr:sp macro="" textlink="">
      <xdr:nvSpPr>
        <xdr:cNvPr id="53" name="Check Box 248" hidden="1">
          <a:extLst>
            <a:ext uri="{63B3BB69-23CF-44E3-9099-C40C66FF867C}">
              <a14:compatExt xmlns:a14="http://schemas.microsoft.com/office/drawing/2010/main" spid="_x0000_s1272"/>
            </a:ex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63</xdr:row>
      <xdr:rowOff>179784</xdr:rowOff>
    </xdr:from>
    <xdr:ext cx="209550" cy="219075"/>
    <xdr:sp macro="" textlink="">
      <xdr:nvSpPr>
        <xdr:cNvPr id="54" name="Check Box 249" hidden="1">
          <a:extLst>
            <a:ext uri="{63B3BB69-23CF-44E3-9099-C40C66FF867C}">
              <a14:compatExt xmlns:a14="http://schemas.microsoft.com/office/drawing/2010/main" spid="_x0000_s1273"/>
            </a:ex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61</xdr:row>
      <xdr:rowOff>155971</xdr:rowOff>
    </xdr:from>
    <xdr:ext cx="209550" cy="219075"/>
    <xdr:sp macro="" textlink="">
      <xdr:nvSpPr>
        <xdr:cNvPr id="55" name="Check Box 250" hidden="1">
          <a:extLst>
            <a:ext uri="{63B3BB69-23CF-44E3-9099-C40C66FF867C}">
              <a14:compatExt xmlns:a14="http://schemas.microsoft.com/office/drawing/2010/main" spid="_x0000_s1274"/>
            </a:ex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134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2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65</xdr:row>
      <xdr:rowOff>161925</xdr:rowOff>
    </xdr:from>
    <xdr:ext cx="307182" cy="219075"/>
    <xdr:sp macro="" textlink="">
      <xdr:nvSpPr>
        <xdr:cNvPr id="134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3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66</xdr:row>
      <xdr:rowOff>161925</xdr:rowOff>
    </xdr:from>
    <xdr:ext cx="307182" cy="219075"/>
    <xdr:sp macro="" textlink="">
      <xdr:nvSpPr>
        <xdr:cNvPr id="134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4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67</xdr:row>
      <xdr:rowOff>161925</xdr:rowOff>
    </xdr:from>
    <xdr:ext cx="307182" cy="219075"/>
    <xdr:sp macro="" textlink="">
      <xdr:nvSpPr>
        <xdr:cNvPr id="134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5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135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6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135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7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64</xdr:row>
      <xdr:rowOff>161925</xdr:rowOff>
    </xdr:from>
    <xdr:ext cx="209550" cy="219075"/>
    <xdr:sp macro="" textlink="">
      <xdr:nvSpPr>
        <xdr:cNvPr id="56" name="Check Box 251" hidden="1">
          <a:extLst>
            <a:ext uri="{63B3BB69-23CF-44E3-9099-C40C66FF867C}">
              <a14:compatExt xmlns:a14="http://schemas.microsoft.com/office/drawing/2010/main" spid="_x0000_s1275"/>
            </a:ex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64</xdr:row>
      <xdr:rowOff>161925</xdr:rowOff>
    </xdr:from>
    <xdr:ext cx="307182" cy="219075"/>
    <xdr:sp macro="" textlink="">
      <xdr:nvSpPr>
        <xdr:cNvPr id="135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8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65</xdr:row>
      <xdr:rowOff>161925</xdr:rowOff>
    </xdr:from>
    <xdr:ext cx="307182" cy="219075"/>
    <xdr:sp macro="" textlink="">
      <xdr:nvSpPr>
        <xdr:cNvPr id="135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9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66</xdr:row>
      <xdr:rowOff>161925</xdr:rowOff>
    </xdr:from>
    <xdr:ext cx="307182" cy="219075"/>
    <xdr:sp macro="" textlink="">
      <xdr:nvSpPr>
        <xdr:cNvPr id="135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A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64</xdr:row>
      <xdr:rowOff>161925</xdr:rowOff>
    </xdr:from>
    <xdr:ext cx="209550" cy="219075"/>
    <xdr:sp macro="" textlink="">
      <xdr:nvSpPr>
        <xdr:cNvPr id="57" name="Check Box 252" hidden="1">
          <a:extLst>
            <a:ext uri="{63B3BB69-23CF-44E3-9099-C40C66FF867C}">
              <a14:compatExt xmlns:a14="http://schemas.microsoft.com/office/drawing/2010/main" spid="_x0000_s1276"/>
            </a:ex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66</xdr:row>
      <xdr:rowOff>161925</xdr:rowOff>
    </xdr:from>
    <xdr:ext cx="307182" cy="219075"/>
    <xdr:sp macro="" textlink="">
      <xdr:nvSpPr>
        <xdr:cNvPr id="135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B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66</xdr:row>
      <xdr:rowOff>161925</xdr:rowOff>
    </xdr:from>
    <xdr:ext cx="209550" cy="219075"/>
    <xdr:sp macro="" textlink="">
      <xdr:nvSpPr>
        <xdr:cNvPr id="58" name="Check Box 253" hidden="1">
          <a:extLst>
            <a:ext uri="{63B3BB69-23CF-44E3-9099-C40C66FF867C}">
              <a14:compatExt xmlns:a14="http://schemas.microsoft.com/office/drawing/2010/main" spid="_x0000_s1277"/>
            </a:ex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67</xdr:row>
      <xdr:rowOff>179784</xdr:rowOff>
    </xdr:from>
    <xdr:ext cx="209550" cy="219075"/>
    <xdr:sp macro="" textlink="">
      <xdr:nvSpPr>
        <xdr:cNvPr id="59" name="Check Box 254" hidden="1">
          <a:extLst>
            <a:ext uri="{63B3BB69-23CF-44E3-9099-C40C66FF867C}">
              <a14:compatExt xmlns:a14="http://schemas.microsoft.com/office/drawing/2010/main" spid="_x0000_s1278"/>
            </a:ex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65</xdr:row>
      <xdr:rowOff>155971</xdr:rowOff>
    </xdr:from>
    <xdr:ext cx="209550" cy="219075"/>
    <xdr:sp macro="" textlink="">
      <xdr:nvSpPr>
        <xdr:cNvPr id="60" name="Check Box 255" hidden="1">
          <a:extLst>
            <a:ext uri="{63B3BB69-23CF-44E3-9099-C40C66FF867C}">
              <a14:compatExt xmlns:a14="http://schemas.microsoft.com/office/drawing/2010/main" spid="_x0000_s1279"/>
            </a:ex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135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C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69</xdr:row>
      <xdr:rowOff>161925</xdr:rowOff>
    </xdr:from>
    <xdr:ext cx="307182" cy="219075"/>
    <xdr:sp macro="" textlink="">
      <xdr:nvSpPr>
        <xdr:cNvPr id="135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D050000}"/>
            </a:ext>
            <a:ext uri="{147F2762-F138-4A5C-976F-8EAC2B608ADB}">
              <a16:predDERef xmlns:a16="http://schemas.microsoft.com/office/drawing/2014/main" pred="{41BBA378-22AE-45DB-A75D-151B65ED345D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70</xdr:row>
      <xdr:rowOff>161925</xdr:rowOff>
    </xdr:from>
    <xdr:ext cx="307182" cy="219075"/>
    <xdr:sp macro="" textlink="">
      <xdr:nvSpPr>
        <xdr:cNvPr id="135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E050000}"/>
            </a:ext>
            <a:ext uri="{147F2762-F138-4A5C-976F-8EAC2B608ADB}">
              <a16:predDERef xmlns:a16="http://schemas.microsoft.com/office/drawing/2014/main" pred="{D7E3BDED-DD74-4EDC-A33F-5000F76FAEA6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71</xdr:row>
      <xdr:rowOff>161925</xdr:rowOff>
    </xdr:from>
    <xdr:ext cx="307182" cy="219075"/>
    <xdr:sp macro="" textlink="">
      <xdr:nvSpPr>
        <xdr:cNvPr id="135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4F050000}"/>
            </a:ext>
            <a:ext uri="{147F2762-F138-4A5C-976F-8EAC2B608ADB}">
              <a16:predDERef xmlns:a16="http://schemas.microsoft.com/office/drawing/2014/main" pred="{12163E9D-6E41-4CCC-A808-48BE58BF602A}"/>
            </a:ext>
          </a:extLst>
        </xdr:cNvPr>
        <xdr:cNvSpPr/>
      </xdr:nvSpPr>
      <xdr:spPr bwMode="auto">
        <a:xfrm>
          <a:off x="6450806" y="14491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136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0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136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1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68</xdr:row>
      <xdr:rowOff>161925</xdr:rowOff>
    </xdr:from>
    <xdr:ext cx="209550" cy="219075"/>
    <xdr:sp macro="" textlink="">
      <xdr:nvSpPr>
        <xdr:cNvPr id="61" name="Check Box 256" hidden="1">
          <a:extLst>
            <a:ext uri="{63B3BB69-23CF-44E3-9099-C40C66FF867C}">
              <a14:compatExt xmlns:a14="http://schemas.microsoft.com/office/drawing/2010/main" spid="_x0000_s1280"/>
            </a:ex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68</xdr:row>
      <xdr:rowOff>161925</xdr:rowOff>
    </xdr:from>
    <xdr:ext cx="307182" cy="219075"/>
    <xdr:sp macro="" textlink="">
      <xdr:nvSpPr>
        <xdr:cNvPr id="136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2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3919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69</xdr:row>
      <xdr:rowOff>161925</xdr:rowOff>
    </xdr:from>
    <xdr:ext cx="307182" cy="219075"/>
    <xdr:sp macro="" textlink="">
      <xdr:nvSpPr>
        <xdr:cNvPr id="136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3050000}"/>
            </a:ext>
            <a:ext uri="{147F2762-F138-4A5C-976F-8EAC2B608ADB}">
              <a16:predDERef xmlns:a16="http://schemas.microsoft.com/office/drawing/2014/main" pred="{BBA5E119-CD9C-4587-BBAD-B3B2FF0CD1F2}"/>
            </a:ext>
          </a:extLst>
        </xdr:cNvPr>
        <xdr:cNvSpPr/>
      </xdr:nvSpPr>
      <xdr:spPr bwMode="auto">
        <a:xfrm>
          <a:off x="6450806" y="14110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70</xdr:row>
      <xdr:rowOff>161925</xdr:rowOff>
    </xdr:from>
    <xdr:ext cx="307182" cy="219075"/>
    <xdr:sp macro="" textlink="">
      <xdr:nvSpPr>
        <xdr:cNvPr id="136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4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68</xdr:row>
      <xdr:rowOff>161925</xdr:rowOff>
    </xdr:from>
    <xdr:ext cx="209550" cy="219075"/>
    <xdr:sp macro="" textlink="">
      <xdr:nvSpPr>
        <xdr:cNvPr id="62" name="Check Box 257" hidden="1">
          <a:extLst>
            <a:ext uri="{63B3BB69-23CF-44E3-9099-C40C66FF867C}">
              <a14:compatExt xmlns:a14="http://schemas.microsoft.com/office/drawing/2010/main" spid="_x0000_s1281"/>
            </a:ex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70</xdr:row>
      <xdr:rowOff>161925</xdr:rowOff>
    </xdr:from>
    <xdr:ext cx="307182" cy="219075"/>
    <xdr:sp macro="" textlink="">
      <xdr:nvSpPr>
        <xdr:cNvPr id="136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5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14300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70</xdr:row>
      <xdr:rowOff>161925</xdr:rowOff>
    </xdr:from>
    <xdr:ext cx="209550" cy="219075"/>
    <xdr:sp macro="" textlink="">
      <xdr:nvSpPr>
        <xdr:cNvPr id="63" name="Check Box 258" hidden="1">
          <a:extLst>
            <a:ext uri="{63B3BB69-23CF-44E3-9099-C40C66FF867C}">
              <a14:compatExt xmlns:a14="http://schemas.microsoft.com/office/drawing/2010/main" spid="_x0000_s1282"/>
            </a:ex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22622</xdr:colOff>
      <xdr:row>71</xdr:row>
      <xdr:rowOff>179784</xdr:rowOff>
    </xdr:from>
    <xdr:ext cx="209550" cy="219075"/>
    <xdr:sp macro="" textlink="">
      <xdr:nvSpPr>
        <xdr:cNvPr id="64" name="Check Box 259" hidden="1">
          <a:extLst>
            <a:ext uri="{63B3BB69-23CF-44E3-9099-C40C66FF867C}">
              <a14:compatExt xmlns:a14="http://schemas.microsoft.com/office/drawing/2010/main" spid="_x0000_s1283"/>
            </a:ex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22621</xdr:colOff>
      <xdr:row>69</xdr:row>
      <xdr:rowOff>155971</xdr:rowOff>
    </xdr:from>
    <xdr:ext cx="209550" cy="219075"/>
    <xdr:sp macro="" textlink="">
      <xdr:nvSpPr>
        <xdr:cNvPr id="65" name="Check Box 260" hidden="1">
          <a:extLst>
            <a:ext uri="{63B3BB69-23CF-44E3-9099-C40C66FF867C}">
              <a14:compatExt xmlns:a14="http://schemas.microsoft.com/office/drawing/2010/main" spid="_x0000_s1284"/>
            </a:ex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36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6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36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7050000}"/>
            </a:ext>
            <a:ext uri="{147F2762-F138-4A5C-976F-8EAC2B608ADB}">
              <a16:predDERef xmlns:a16="http://schemas.microsoft.com/office/drawing/2014/main" pred="{EFFD369C-ECC3-441A-A96D-9BF32ADCA179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36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8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36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9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37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A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25</xdr:row>
      <xdr:rowOff>161925</xdr:rowOff>
    </xdr:from>
    <xdr:ext cx="209550" cy="219075"/>
    <xdr:sp macro="" textlink="">
      <xdr:nvSpPr>
        <xdr:cNvPr id="66" name="Check Box 261" hidden="1">
          <a:extLst>
            <a:ext uri="{63B3BB69-23CF-44E3-9099-C40C66FF867C}">
              <a14:compatExt xmlns:a14="http://schemas.microsoft.com/office/drawing/2010/main" spid="_x0000_s1285"/>
            </a:ex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37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B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25</xdr:row>
      <xdr:rowOff>161925</xdr:rowOff>
    </xdr:from>
    <xdr:ext cx="209550" cy="219075"/>
    <xdr:sp macro="" textlink="">
      <xdr:nvSpPr>
        <xdr:cNvPr id="67" name="Check Box 262" hidden="1">
          <a:extLst>
            <a:ext uri="{63B3BB69-23CF-44E3-9099-C40C66FF867C}">
              <a14:compatExt xmlns:a14="http://schemas.microsoft.com/office/drawing/2010/main" spid="_x0000_s1286"/>
            </a:ex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25</xdr:row>
      <xdr:rowOff>161925</xdr:rowOff>
    </xdr:from>
    <xdr:ext cx="307182" cy="219075"/>
    <xdr:sp macro="" textlink="">
      <xdr:nvSpPr>
        <xdr:cNvPr id="137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C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37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D050000}"/>
            </a:ext>
            <a:ext uri="{147F2762-F138-4A5C-976F-8EAC2B608ADB}">
              <a16:predDERef xmlns:a16="http://schemas.microsoft.com/office/drawing/2014/main" pred="{EFFD369C-ECC3-441A-A96D-9BF32ADCA179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37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E050000}"/>
            </a:ext>
            <a:ext uri="{147F2762-F138-4A5C-976F-8EAC2B608ADB}">
              <a16:predDERef xmlns:a16="http://schemas.microsoft.com/office/drawing/2014/main" pred="{1CE27ECE-424D-4B16-A579-3FF0D8371B6C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37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5F050000}"/>
            </a:ext>
            <a:ext uri="{147F2762-F138-4A5C-976F-8EAC2B608ADB}">
              <a16:predDERef xmlns:a16="http://schemas.microsoft.com/office/drawing/2014/main" pred="{EDB66BCF-1334-4260-8C05-5E41F5FC55E9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37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0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26</xdr:row>
      <xdr:rowOff>161925</xdr:rowOff>
    </xdr:from>
    <xdr:ext cx="209550" cy="219075"/>
    <xdr:sp macro="" textlink="">
      <xdr:nvSpPr>
        <xdr:cNvPr id="68" name="Check Box 263" hidden="1">
          <a:extLst>
            <a:ext uri="{63B3BB69-23CF-44E3-9099-C40C66FF867C}">
              <a14:compatExt xmlns:a14="http://schemas.microsoft.com/office/drawing/2010/main" spid="_x0000_s1287"/>
            </a:ex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37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1050000}"/>
            </a:ext>
            <a:ext uri="{147F2762-F138-4A5C-976F-8EAC2B608ADB}">
              <a16:predDERef xmlns:a16="http://schemas.microsoft.com/office/drawing/2014/main" pred="{EF360A85-3A65-41B2-90EE-9B66C9616091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25003</xdr:colOff>
      <xdr:row>26</xdr:row>
      <xdr:rowOff>161925</xdr:rowOff>
    </xdr:from>
    <xdr:ext cx="209550" cy="219075"/>
    <xdr:sp macro="" textlink="">
      <xdr:nvSpPr>
        <xdr:cNvPr id="69" name="Check Box 264" hidden="1">
          <a:extLst>
            <a:ext uri="{63B3BB69-23CF-44E3-9099-C40C66FF867C}">
              <a14:compatExt xmlns:a14="http://schemas.microsoft.com/office/drawing/2010/main" spid="_x0000_s1288"/>
            </a:ex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26</xdr:row>
      <xdr:rowOff>161925</xdr:rowOff>
    </xdr:from>
    <xdr:ext cx="307182" cy="219075"/>
    <xdr:sp macro="" textlink="">
      <xdr:nvSpPr>
        <xdr:cNvPr id="137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2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775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20</xdr:row>
      <xdr:rowOff>161925</xdr:rowOff>
    </xdr:from>
    <xdr:ext cx="307182" cy="219075"/>
    <xdr:sp macro="" textlink="">
      <xdr:nvSpPr>
        <xdr:cNvPr id="137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3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21</xdr:row>
      <xdr:rowOff>161925</xdr:rowOff>
    </xdr:from>
    <xdr:ext cx="307182" cy="219075"/>
    <xdr:sp macro="" textlink="">
      <xdr:nvSpPr>
        <xdr:cNvPr id="138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4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20</xdr:row>
      <xdr:rowOff>161925</xdr:rowOff>
    </xdr:from>
    <xdr:ext cx="307182" cy="219075"/>
    <xdr:sp macro="" textlink="">
      <xdr:nvSpPr>
        <xdr:cNvPr id="138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5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21</xdr:row>
      <xdr:rowOff>161925</xdr:rowOff>
    </xdr:from>
    <xdr:ext cx="307182" cy="219075"/>
    <xdr:sp macro="" textlink="">
      <xdr:nvSpPr>
        <xdr:cNvPr id="138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6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138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7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585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21</xdr:row>
      <xdr:rowOff>161925</xdr:rowOff>
    </xdr:from>
    <xdr:ext cx="307182" cy="219075"/>
    <xdr:sp macro="" textlink="">
      <xdr:nvSpPr>
        <xdr:cNvPr id="138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8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1385" name="Check Box 39" hidden="1">
          <a:extLst>
            <a:ext uri="{63B3BB69-23CF-44E3-9099-C40C66FF867C}">
              <a14:compatExt xmlns:a14="http://schemas.microsoft.com/office/drawing/2010/main" spid="_x0000_s3111"/>
            </a:ext>
            <a:ext uri="{FF2B5EF4-FFF2-40B4-BE49-F238E27FC236}">
              <a16:creationId xmlns:a16="http://schemas.microsoft.com/office/drawing/2014/main" id="{00000000-0008-0000-0300-000069050000}"/>
            </a:ext>
          </a:extLst>
        </xdr:cNvPr>
        <xdr:cNvSpPr/>
      </xdr:nvSpPr>
      <xdr:spPr bwMode="auto">
        <a:xfrm>
          <a:off x="6450806" y="4013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23</xdr:row>
      <xdr:rowOff>161925</xdr:rowOff>
    </xdr:from>
    <xdr:ext cx="307182" cy="219075"/>
    <xdr:sp macro="" textlink="">
      <xdr:nvSpPr>
        <xdr:cNvPr id="138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A050000}"/>
            </a:ext>
          </a:extLst>
        </xdr:cNvPr>
        <xdr:cNvSpPr/>
      </xdr:nvSpPr>
      <xdr:spPr bwMode="auto">
        <a:xfrm>
          <a:off x="6450806" y="4204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38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B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138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C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013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1389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D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013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23</xdr:row>
      <xdr:rowOff>161925</xdr:rowOff>
    </xdr:from>
    <xdr:ext cx="307182" cy="219075"/>
    <xdr:sp macro="" textlink="">
      <xdr:nvSpPr>
        <xdr:cNvPr id="1390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E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204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23</xdr:row>
      <xdr:rowOff>161925</xdr:rowOff>
    </xdr:from>
    <xdr:ext cx="307182" cy="219075"/>
    <xdr:sp macro="" textlink="">
      <xdr:nvSpPr>
        <xdr:cNvPr id="1391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6F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204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39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0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1393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1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013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23</xdr:row>
      <xdr:rowOff>161925</xdr:rowOff>
    </xdr:from>
    <xdr:ext cx="307182" cy="219075"/>
    <xdr:sp macro="" textlink="">
      <xdr:nvSpPr>
        <xdr:cNvPr id="1394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2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204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22</xdr:row>
      <xdr:rowOff>161925</xdr:rowOff>
    </xdr:from>
    <xdr:ext cx="307182" cy="219075"/>
    <xdr:sp macro="" textlink="">
      <xdr:nvSpPr>
        <xdr:cNvPr id="1395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3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013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23</xdr:row>
      <xdr:rowOff>161925</xdr:rowOff>
    </xdr:from>
    <xdr:ext cx="307182" cy="219075"/>
    <xdr:sp macro="" textlink="">
      <xdr:nvSpPr>
        <xdr:cNvPr id="1396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4050000}"/>
            </a:ext>
            <a:ext uri="{147F2762-F138-4A5C-976F-8EAC2B608ADB}">
              <a16:predDERef xmlns:a16="http://schemas.microsoft.com/office/drawing/2014/main" pred="{BD3BBDD6-3483-4E73-855E-BF07C635447D}"/>
            </a:ext>
          </a:extLst>
        </xdr:cNvPr>
        <xdr:cNvSpPr/>
      </xdr:nvSpPr>
      <xdr:spPr bwMode="auto">
        <a:xfrm>
          <a:off x="6450806" y="4204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24</xdr:row>
      <xdr:rowOff>161925</xdr:rowOff>
    </xdr:from>
    <xdr:ext cx="307182" cy="219075"/>
    <xdr:sp macro="" textlink="">
      <xdr:nvSpPr>
        <xdr:cNvPr id="1397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5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3945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9525</xdr:colOff>
      <xdr:row>23</xdr:row>
      <xdr:rowOff>161925</xdr:rowOff>
    </xdr:from>
    <xdr:ext cx="307182" cy="219075"/>
    <xdr:sp macro="" textlink="">
      <xdr:nvSpPr>
        <xdr:cNvPr id="1398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300-000076050000}"/>
            </a:ext>
            <a:ext uri="{147F2762-F138-4A5C-976F-8EAC2B608ADB}">
              <a16:predDERef xmlns:a16="http://schemas.microsoft.com/office/drawing/2014/main" pred="{27AF0A9A-D103-4EEB-BBDC-51DA38FD2B41}"/>
            </a:ext>
          </a:extLst>
        </xdr:cNvPr>
        <xdr:cNvSpPr/>
      </xdr:nvSpPr>
      <xdr:spPr bwMode="auto">
        <a:xfrm>
          <a:off x="6450806" y="4204097"/>
          <a:ext cx="30718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6</xdr:col>
      <xdr:colOff>28575</xdr:colOff>
      <xdr:row>23</xdr:row>
      <xdr:rowOff>161925</xdr:rowOff>
    </xdr:from>
    <xdr:to>
      <xdr:col>6</xdr:col>
      <xdr:colOff>238125</xdr:colOff>
      <xdr:row>25</xdr:row>
      <xdr:rowOff>0</xdr:rowOff>
    </xdr:to>
    <xdr:sp macro="" textlink="">
      <xdr:nvSpPr>
        <xdr:cNvPr id="72" name="Check Box 267" hidden="1">
          <a:extLst>
            <a:ext uri="{63B3BB69-23CF-44E3-9099-C40C66FF867C}">
              <a14:compatExt xmlns:a14="http://schemas.microsoft.com/office/drawing/2010/main" spid="_x0000_s1291"/>
            </a:ex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16669</xdr:colOff>
      <xdr:row>23</xdr:row>
      <xdr:rowOff>1191</xdr:rowOff>
    </xdr:from>
    <xdr:to>
      <xdr:col>6</xdr:col>
      <xdr:colOff>226219</xdr:colOff>
      <xdr:row>24</xdr:row>
      <xdr:rowOff>29766</xdr:rowOff>
    </xdr:to>
    <xdr:sp macro="" textlink="">
      <xdr:nvSpPr>
        <xdr:cNvPr id="73" name="Check Box 268" hidden="1">
          <a:extLst>
            <a:ext uri="{63B3BB69-23CF-44E3-9099-C40C66FF867C}">
              <a14:compatExt xmlns:a14="http://schemas.microsoft.com/office/drawing/2010/main" spid="_x0000_s1292"/>
            </a:ex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</xdr:row>
          <xdr:rowOff>180975</xdr:rowOff>
        </xdr:from>
        <xdr:to>
          <xdr:col>6</xdr:col>
          <xdr:colOff>228600</xdr:colOff>
          <xdr:row>77</xdr:row>
          <xdr:rowOff>19050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3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</xdr:row>
          <xdr:rowOff>152400</xdr:rowOff>
        </xdr:from>
        <xdr:to>
          <xdr:col>6</xdr:col>
          <xdr:colOff>228600</xdr:colOff>
          <xdr:row>74</xdr:row>
          <xdr:rowOff>180975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3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24</xdr:row>
          <xdr:rowOff>161925</xdr:rowOff>
        </xdr:from>
        <xdr:to>
          <xdr:col>6</xdr:col>
          <xdr:colOff>238125</xdr:colOff>
          <xdr:row>26</xdr:row>
          <xdr:rowOff>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3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24</xdr:row>
          <xdr:rowOff>161925</xdr:rowOff>
        </xdr:from>
        <xdr:to>
          <xdr:col>6</xdr:col>
          <xdr:colOff>238125</xdr:colOff>
          <xdr:row>26</xdr:row>
          <xdr:rowOff>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3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26</xdr:row>
          <xdr:rowOff>161925</xdr:rowOff>
        </xdr:from>
        <xdr:to>
          <xdr:col>6</xdr:col>
          <xdr:colOff>238125</xdr:colOff>
          <xdr:row>28</xdr:row>
          <xdr:rowOff>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3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</xdr:row>
          <xdr:rowOff>180975</xdr:rowOff>
        </xdr:from>
        <xdr:to>
          <xdr:col>6</xdr:col>
          <xdr:colOff>228600</xdr:colOff>
          <xdr:row>29</xdr:row>
          <xdr:rowOff>19050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3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</xdr:row>
          <xdr:rowOff>152400</xdr:rowOff>
        </xdr:from>
        <xdr:to>
          <xdr:col>6</xdr:col>
          <xdr:colOff>228600</xdr:colOff>
          <xdr:row>26</xdr:row>
          <xdr:rowOff>180975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3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28</xdr:row>
          <xdr:rowOff>161925</xdr:rowOff>
        </xdr:from>
        <xdr:to>
          <xdr:col>6</xdr:col>
          <xdr:colOff>238125</xdr:colOff>
          <xdr:row>30</xdr:row>
          <xdr:rowOff>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3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28</xdr:row>
          <xdr:rowOff>161925</xdr:rowOff>
        </xdr:from>
        <xdr:to>
          <xdr:col>6</xdr:col>
          <xdr:colOff>238125</xdr:colOff>
          <xdr:row>30</xdr:row>
          <xdr:rowOff>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3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30</xdr:row>
          <xdr:rowOff>161925</xdr:rowOff>
        </xdr:from>
        <xdr:to>
          <xdr:col>6</xdr:col>
          <xdr:colOff>238125</xdr:colOff>
          <xdr:row>32</xdr:row>
          <xdr:rowOff>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3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</xdr:row>
          <xdr:rowOff>180975</xdr:rowOff>
        </xdr:from>
        <xdr:to>
          <xdr:col>6</xdr:col>
          <xdr:colOff>228600</xdr:colOff>
          <xdr:row>33</xdr:row>
          <xdr:rowOff>19050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3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</xdr:row>
          <xdr:rowOff>152400</xdr:rowOff>
        </xdr:from>
        <xdr:to>
          <xdr:col>6</xdr:col>
          <xdr:colOff>228600</xdr:colOff>
          <xdr:row>30</xdr:row>
          <xdr:rowOff>180975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3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32</xdr:row>
          <xdr:rowOff>161925</xdr:rowOff>
        </xdr:from>
        <xdr:to>
          <xdr:col>6</xdr:col>
          <xdr:colOff>238125</xdr:colOff>
          <xdr:row>34</xdr:row>
          <xdr:rowOff>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3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32</xdr:row>
          <xdr:rowOff>161925</xdr:rowOff>
        </xdr:from>
        <xdr:to>
          <xdr:col>6</xdr:col>
          <xdr:colOff>238125</xdr:colOff>
          <xdr:row>34</xdr:row>
          <xdr:rowOff>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3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34</xdr:row>
          <xdr:rowOff>161925</xdr:rowOff>
        </xdr:from>
        <xdr:to>
          <xdr:col>6</xdr:col>
          <xdr:colOff>238125</xdr:colOff>
          <xdr:row>36</xdr:row>
          <xdr:rowOff>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3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</xdr:row>
          <xdr:rowOff>180975</xdr:rowOff>
        </xdr:from>
        <xdr:to>
          <xdr:col>6</xdr:col>
          <xdr:colOff>228600</xdr:colOff>
          <xdr:row>37</xdr:row>
          <xdr:rowOff>19050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3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</xdr:row>
          <xdr:rowOff>152400</xdr:rowOff>
        </xdr:from>
        <xdr:to>
          <xdr:col>6</xdr:col>
          <xdr:colOff>228600</xdr:colOff>
          <xdr:row>34</xdr:row>
          <xdr:rowOff>180975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3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36</xdr:row>
          <xdr:rowOff>161925</xdr:rowOff>
        </xdr:from>
        <xdr:to>
          <xdr:col>6</xdr:col>
          <xdr:colOff>238125</xdr:colOff>
          <xdr:row>38</xdr:row>
          <xdr:rowOff>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3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36</xdr:row>
          <xdr:rowOff>161925</xdr:rowOff>
        </xdr:from>
        <xdr:to>
          <xdr:col>6</xdr:col>
          <xdr:colOff>238125</xdr:colOff>
          <xdr:row>38</xdr:row>
          <xdr:rowOff>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3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38</xdr:row>
          <xdr:rowOff>161925</xdr:rowOff>
        </xdr:from>
        <xdr:to>
          <xdr:col>6</xdr:col>
          <xdr:colOff>238125</xdr:colOff>
          <xdr:row>40</xdr:row>
          <xdr:rowOff>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3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</xdr:row>
          <xdr:rowOff>180975</xdr:rowOff>
        </xdr:from>
        <xdr:to>
          <xdr:col>6</xdr:col>
          <xdr:colOff>228600</xdr:colOff>
          <xdr:row>41</xdr:row>
          <xdr:rowOff>19050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3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152400</xdr:rowOff>
        </xdr:from>
        <xdr:to>
          <xdr:col>6</xdr:col>
          <xdr:colOff>228600</xdr:colOff>
          <xdr:row>38</xdr:row>
          <xdr:rowOff>180975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3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40</xdr:row>
          <xdr:rowOff>161925</xdr:rowOff>
        </xdr:from>
        <xdr:to>
          <xdr:col>6</xdr:col>
          <xdr:colOff>238125</xdr:colOff>
          <xdr:row>42</xdr:row>
          <xdr:rowOff>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3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28575</xdr:colOff>
      <xdr:row>40</xdr:row>
      <xdr:rowOff>161925</xdr:rowOff>
    </xdr:from>
    <xdr:to>
      <xdr:col>6</xdr:col>
      <xdr:colOff>238125</xdr:colOff>
      <xdr:row>42</xdr:row>
      <xdr:rowOff>0</xdr:rowOff>
    </xdr:to>
    <xdr:sp macro="" textlink="">
      <xdr:nvSpPr>
        <xdr:cNvPr id="70" name="Check Box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42</xdr:row>
      <xdr:rowOff>161925</xdr:rowOff>
    </xdr:from>
    <xdr:to>
      <xdr:col>6</xdr:col>
      <xdr:colOff>238125</xdr:colOff>
      <xdr:row>44</xdr:row>
      <xdr:rowOff>0</xdr:rowOff>
    </xdr:to>
    <xdr:sp macro="" textlink="">
      <xdr:nvSpPr>
        <xdr:cNvPr id="71" name="Check Box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43</xdr:row>
      <xdr:rowOff>180975</xdr:rowOff>
    </xdr:from>
    <xdr:to>
      <xdr:col>6</xdr:col>
      <xdr:colOff>228600</xdr:colOff>
      <xdr:row>45</xdr:row>
      <xdr:rowOff>19050</xdr:rowOff>
    </xdr:to>
    <xdr:sp macro="" textlink="">
      <xdr:nvSpPr>
        <xdr:cNvPr id="74" name="Check Box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41</xdr:row>
      <xdr:rowOff>152400</xdr:rowOff>
    </xdr:from>
    <xdr:to>
      <xdr:col>6</xdr:col>
      <xdr:colOff>228600</xdr:colOff>
      <xdr:row>42</xdr:row>
      <xdr:rowOff>180975</xdr:rowOff>
    </xdr:to>
    <xdr:sp macro="" textlink="">
      <xdr:nvSpPr>
        <xdr:cNvPr id="75" name="Check Box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44</xdr:row>
      <xdr:rowOff>161925</xdr:rowOff>
    </xdr:from>
    <xdr:to>
      <xdr:col>6</xdr:col>
      <xdr:colOff>238125</xdr:colOff>
      <xdr:row>46</xdr:row>
      <xdr:rowOff>0</xdr:rowOff>
    </xdr:to>
    <xdr:sp macro="" textlink="">
      <xdr:nvSpPr>
        <xdr:cNvPr id="76" name="Check Box 226" hidden="1">
          <a:extLst>
            <a:ext uri="{63B3BB69-23CF-44E3-9099-C40C66FF867C}">
              <a14:compatExt xmlns:a14="http://schemas.microsoft.com/office/drawing/2010/main" spid="_x0000_s1250"/>
            </a:ex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44</xdr:row>
      <xdr:rowOff>161925</xdr:rowOff>
    </xdr:from>
    <xdr:to>
      <xdr:col>6</xdr:col>
      <xdr:colOff>238125</xdr:colOff>
      <xdr:row>46</xdr:row>
      <xdr:rowOff>0</xdr:rowOff>
    </xdr:to>
    <xdr:sp macro="" textlink="">
      <xdr:nvSpPr>
        <xdr:cNvPr id="77" name="Check Box 227" hidden="1">
          <a:extLst>
            <a:ext uri="{63B3BB69-23CF-44E3-9099-C40C66FF867C}">
              <a14:compatExt xmlns:a14="http://schemas.microsoft.com/office/drawing/2010/main" spid="_x0000_s1251"/>
            </a:ex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46</xdr:row>
      <xdr:rowOff>161925</xdr:rowOff>
    </xdr:from>
    <xdr:to>
      <xdr:col>6</xdr:col>
      <xdr:colOff>238125</xdr:colOff>
      <xdr:row>48</xdr:row>
      <xdr:rowOff>0</xdr:rowOff>
    </xdr:to>
    <xdr:sp macro="" textlink="">
      <xdr:nvSpPr>
        <xdr:cNvPr id="78" name="Check Box 228" hidden="1">
          <a:extLst>
            <a:ext uri="{63B3BB69-23CF-44E3-9099-C40C66FF867C}">
              <a14:compatExt xmlns:a14="http://schemas.microsoft.com/office/drawing/2010/main" spid="_x0000_s1252"/>
            </a:ex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47</xdr:row>
      <xdr:rowOff>180975</xdr:rowOff>
    </xdr:from>
    <xdr:to>
      <xdr:col>6</xdr:col>
      <xdr:colOff>228600</xdr:colOff>
      <xdr:row>49</xdr:row>
      <xdr:rowOff>19050</xdr:rowOff>
    </xdr:to>
    <xdr:sp macro="" textlink="">
      <xdr:nvSpPr>
        <xdr:cNvPr id="79" name="Check Box 229" hidden="1">
          <a:extLst>
            <a:ext uri="{63B3BB69-23CF-44E3-9099-C40C66FF867C}">
              <a14:compatExt xmlns:a14="http://schemas.microsoft.com/office/drawing/2010/main" spid="_x0000_s1253"/>
            </a:ex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45</xdr:row>
      <xdr:rowOff>152400</xdr:rowOff>
    </xdr:from>
    <xdr:to>
      <xdr:col>6</xdr:col>
      <xdr:colOff>228600</xdr:colOff>
      <xdr:row>46</xdr:row>
      <xdr:rowOff>180975</xdr:rowOff>
    </xdr:to>
    <xdr:sp macro="" textlink="">
      <xdr:nvSpPr>
        <xdr:cNvPr id="80" name="Check Box 230" hidden="1">
          <a:extLst>
            <a:ext uri="{63B3BB69-23CF-44E3-9099-C40C66FF867C}">
              <a14:compatExt xmlns:a14="http://schemas.microsoft.com/office/drawing/2010/main" spid="_x0000_s1254"/>
            </a:ex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48</xdr:row>
      <xdr:rowOff>161925</xdr:rowOff>
    </xdr:from>
    <xdr:to>
      <xdr:col>6</xdr:col>
      <xdr:colOff>238125</xdr:colOff>
      <xdr:row>50</xdr:row>
      <xdr:rowOff>0</xdr:rowOff>
    </xdr:to>
    <xdr:sp macro="" textlink="">
      <xdr:nvSpPr>
        <xdr:cNvPr id="81" name="Check Box 231" hidden="1">
          <a:extLst>
            <a:ext uri="{63B3BB69-23CF-44E3-9099-C40C66FF867C}">
              <a14:compatExt xmlns:a14="http://schemas.microsoft.com/office/drawing/2010/main" spid="_x0000_s1255"/>
            </a:ex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48</xdr:row>
      <xdr:rowOff>161925</xdr:rowOff>
    </xdr:from>
    <xdr:to>
      <xdr:col>6</xdr:col>
      <xdr:colOff>238125</xdr:colOff>
      <xdr:row>50</xdr:row>
      <xdr:rowOff>0</xdr:rowOff>
    </xdr:to>
    <xdr:sp macro="" textlink="">
      <xdr:nvSpPr>
        <xdr:cNvPr id="82" name="Check Box 232" hidden="1">
          <a:extLst>
            <a:ext uri="{63B3BB69-23CF-44E3-9099-C40C66FF867C}">
              <a14:compatExt xmlns:a14="http://schemas.microsoft.com/office/drawing/2010/main" spid="_x0000_s1256"/>
            </a:ex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50</xdr:row>
      <xdr:rowOff>161925</xdr:rowOff>
    </xdr:from>
    <xdr:to>
      <xdr:col>6</xdr:col>
      <xdr:colOff>238125</xdr:colOff>
      <xdr:row>52</xdr:row>
      <xdr:rowOff>0</xdr:rowOff>
    </xdr:to>
    <xdr:sp macro="" textlink="">
      <xdr:nvSpPr>
        <xdr:cNvPr id="83" name="Check Box 233" hidden="1">
          <a:extLst>
            <a:ext uri="{63B3BB69-23CF-44E3-9099-C40C66FF867C}">
              <a14:compatExt xmlns:a14="http://schemas.microsoft.com/office/drawing/2010/main" spid="_x0000_s1257"/>
            </a:ex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51</xdr:row>
      <xdr:rowOff>180975</xdr:rowOff>
    </xdr:from>
    <xdr:to>
      <xdr:col>6</xdr:col>
      <xdr:colOff>228600</xdr:colOff>
      <xdr:row>53</xdr:row>
      <xdr:rowOff>19050</xdr:rowOff>
    </xdr:to>
    <xdr:sp macro="" textlink="">
      <xdr:nvSpPr>
        <xdr:cNvPr id="484" name="Check Box 234" hidden="1">
          <a:extLst>
            <a:ext uri="{63B3BB69-23CF-44E3-9099-C40C66FF867C}">
              <a14:compatExt xmlns:a14="http://schemas.microsoft.com/office/drawing/2010/main" spid="_x0000_s1258"/>
            </a:ex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49</xdr:row>
      <xdr:rowOff>152400</xdr:rowOff>
    </xdr:from>
    <xdr:to>
      <xdr:col>6</xdr:col>
      <xdr:colOff>228600</xdr:colOff>
      <xdr:row>50</xdr:row>
      <xdr:rowOff>180975</xdr:rowOff>
    </xdr:to>
    <xdr:sp macro="" textlink="">
      <xdr:nvSpPr>
        <xdr:cNvPr id="485" name="Check Box 235" hidden="1">
          <a:extLst>
            <a:ext uri="{63B3BB69-23CF-44E3-9099-C40C66FF867C}">
              <a14:compatExt xmlns:a14="http://schemas.microsoft.com/office/drawing/2010/main" spid="_x0000_s1259"/>
            </a:ex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52</xdr:row>
      <xdr:rowOff>161925</xdr:rowOff>
    </xdr:from>
    <xdr:to>
      <xdr:col>6</xdr:col>
      <xdr:colOff>238125</xdr:colOff>
      <xdr:row>54</xdr:row>
      <xdr:rowOff>0</xdr:rowOff>
    </xdr:to>
    <xdr:sp macro="" textlink="">
      <xdr:nvSpPr>
        <xdr:cNvPr id="486" name="Check Box 236" hidden="1">
          <a:extLst>
            <a:ext uri="{63B3BB69-23CF-44E3-9099-C40C66FF867C}">
              <a14:compatExt xmlns:a14="http://schemas.microsoft.com/office/drawing/2010/main" spid="_x0000_s1260"/>
            </a:ex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52</xdr:row>
      <xdr:rowOff>161925</xdr:rowOff>
    </xdr:from>
    <xdr:to>
      <xdr:col>6</xdr:col>
      <xdr:colOff>238125</xdr:colOff>
      <xdr:row>54</xdr:row>
      <xdr:rowOff>0</xdr:rowOff>
    </xdr:to>
    <xdr:sp macro="" textlink="">
      <xdr:nvSpPr>
        <xdr:cNvPr id="487" name="Check Box 237" hidden="1">
          <a:extLst>
            <a:ext uri="{63B3BB69-23CF-44E3-9099-C40C66FF867C}">
              <a14:compatExt xmlns:a14="http://schemas.microsoft.com/office/drawing/2010/main" spid="_x0000_s1261"/>
            </a:ex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54</xdr:row>
      <xdr:rowOff>161925</xdr:rowOff>
    </xdr:from>
    <xdr:to>
      <xdr:col>6</xdr:col>
      <xdr:colOff>238125</xdr:colOff>
      <xdr:row>56</xdr:row>
      <xdr:rowOff>0</xdr:rowOff>
    </xdr:to>
    <xdr:sp macro="" textlink="">
      <xdr:nvSpPr>
        <xdr:cNvPr id="488" name="Check Box 238" hidden="1">
          <a:extLst>
            <a:ext uri="{63B3BB69-23CF-44E3-9099-C40C66FF867C}">
              <a14:compatExt xmlns:a14="http://schemas.microsoft.com/office/drawing/2010/main" spid="_x0000_s1262"/>
            </a:ex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55</xdr:row>
      <xdr:rowOff>180975</xdr:rowOff>
    </xdr:from>
    <xdr:to>
      <xdr:col>6</xdr:col>
      <xdr:colOff>228600</xdr:colOff>
      <xdr:row>57</xdr:row>
      <xdr:rowOff>19050</xdr:rowOff>
    </xdr:to>
    <xdr:sp macro="" textlink="">
      <xdr:nvSpPr>
        <xdr:cNvPr id="489" name="Check Box 239" hidden="1">
          <a:extLst>
            <a:ext uri="{63B3BB69-23CF-44E3-9099-C40C66FF867C}">
              <a14:compatExt xmlns:a14="http://schemas.microsoft.com/office/drawing/2010/main" spid="_x0000_s1263"/>
            </a:ex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53</xdr:row>
      <xdr:rowOff>152400</xdr:rowOff>
    </xdr:from>
    <xdr:to>
      <xdr:col>6</xdr:col>
      <xdr:colOff>228600</xdr:colOff>
      <xdr:row>54</xdr:row>
      <xdr:rowOff>180975</xdr:rowOff>
    </xdr:to>
    <xdr:sp macro="" textlink="">
      <xdr:nvSpPr>
        <xdr:cNvPr id="490" name="Check Box 240" hidden="1">
          <a:extLst>
            <a:ext uri="{63B3BB69-23CF-44E3-9099-C40C66FF867C}">
              <a14:compatExt xmlns:a14="http://schemas.microsoft.com/office/drawing/2010/main" spid="_x0000_s1264"/>
            </a:ex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56</xdr:row>
      <xdr:rowOff>161925</xdr:rowOff>
    </xdr:from>
    <xdr:to>
      <xdr:col>6</xdr:col>
      <xdr:colOff>238125</xdr:colOff>
      <xdr:row>58</xdr:row>
      <xdr:rowOff>0</xdr:rowOff>
    </xdr:to>
    <xdr:sp macro="" textlink="">
      <xdr:nvSpPr>
        <xdr:cNvPr id="491" name="Check Box 241" hidden="1">
          <a:extLst>
            <a:ext uri="{63B3BB69-23CF-44E3-9099-C40C66FF867C}">
              <a14:compatExt xmlns:a14="http://schemas.microsoft.com/office/drawing/2010/main" spid="_x0000_s1265"/>
            </a:ex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56</xdr:row>
      <xdr:rowOff>161925</xdr:rowOff>
    </xdr:from>
    <xdr:to>
      <xdr:col>6</xdr:col>
      <xdr:colOff>238125</xdr:colOff>
      <xdr:row>58</xdr:row>
      <xdr:rowOff>0</xdr:rowOff>
    </xdr:to>
    <xdr:sp macro="" textlink="">
      <xdr:nvSpPr>
        <xdr:cNvPr id="492" name="Check Box 242" hidden="1">
          <a:extLst>
            <a:ext uri="{63B3BB69-23CF-44E3-9099-C40C66FF867C}">
              <a14:compatExt xmlns:a14="http://schemas.microsoft.com/office/drawing/2010/main" spid="_x0000_s1266"/>
            </a:ex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58</xdr:row>
      <xdr:rowOff>161925</xdr:rowOff>
    </xdr:from>
    <xdr:to>
      <xdr:col>6</xdr:col>
      <xdr:colOff>238125</xdr:colOff>
      <xdr:row>60</xdr:row>
      <xdr:rowOff>0</xdr:rowOff>
    </xdr:to>
    <xdr:sp macro="" textlink="">
      <xdr:nvSpPr>
        <xdr:cNvPr id="493" name="Check Box 243" hidden="1">
          <a:extLst>
            <a:ext uri="{63B3BB69-23CF-44E3-9099-C40C66FF867C}">
              <a14:compatExt xmlns:a14="http://schemas.microsoft.com/office/drawing/2010/main" spid="_x0000_s1267"/>
            </a:ex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59</xdr:row>
      <xdr:rowOff>180975</xdr:rowOff>
    </xdr:from>
    <xdr:to>
      <xdr:col>6</xdr:col>
      <xdr:colOff>228600</xdr:colOff>
      <xdr:row>61</xdr:row>
      <xdr:rowOff>19050</xdr:rowOff>
    </xdr:to>
    <xdr:sp macro="" textlink="">
      <xdr:nvSpPr>
        <xdr:cNvPr id="494" name="Check Box 244" hidden="1">
          <a:extLst>
            <a:ext uri="{63B3BB69-23CF-44E3-9099-C40C66FF867C}">
              <a14:compatExt xmlns:a14="http://schemas.microsoft.com/office/drawing/2010/main" spid="_x0000_s1268"/>
            </a:ex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57</xdr:row>
      <xdr:rowOff>152400</xdr:rowOff>
    </xdr:from>
    <xdr:to>
      <xdr:col>6</xdr:col>
      <xdr:colOff>228600</xdr:colOff>
      <xdr:row>58</xdr:row>
      <xdr:rowOff>180975</xdr:rowOff>
    </xdr:to>
    <xdr:sp macro="" textlink="">
      <xdr:nvSpPr>
        <xdr:cNvPr id="495" name="Check Box 245" hidden="1">
          <a:extLst>
            <a:ext uri="{63B3BB69-23CF-44E3-9099-C40C66FF867C}">
              <a14:compatExt xmlns:a14="http://schemas.microsoft.com/office/drawing/2010/main" spid="_x0000_s1269"/>
            </a:ex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60</xdr:row>
      <xdr:rowOff>161925</xdr:rowOff>
    </xdr:from>
    <xdr:to>
      <xdr:col>6</xdr:col>
      <xdr:colOff>238125</xdr:colOff>
      <xdr:row>62</xdr:row>
      <xdr:rowOff>0</xdr:rowOff>
    </xdr:to>
    <xdr:sp macro="" textlink="">
      <xdr:nvSpPr>
        <xdr:cNvPr id="496" name="Check Box 246" hidden="1">
          <a:extLst>
            <a:ext uri="{63B3BB69-23CF-44E3-9099-C40C66FF867C}">
              <a14:compatExt xmlns:a14="http://schemas.microsoft.com/office/drawing/2010/main" spid="_x0000_s1270"/>
            </a:ex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60</xdr:row>
      <xdr:rowOff>161925</xdr:rowOff>
    </xdr:from>
    <xdr:to>
      <xdr:col>6</xdr:col>
      <xdr:colOff>238125</xdr:colOff>
      <xdr:row>62</xdr:row>
      <xdr:rowOff>0</xdr:rowOff>
    </xdr:to>
    <xdr:sp macro="" textlink="">
      <xdr:nvSpPr>
        <xdr:cNvPr id="497" name="Check Box 247" hidden="1">
          <a:extLst>
            <a:ext uri="{63B3BB69-23CF-44E3-9099-C40C66FF867C}">
              <a14:compatExt xmlns:a14="http://schemas.microsoft.com/office/drawing/2010/main" spid="_x0000_s1271"/>
            </a:ex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62</xdr:row>
      <xdr:rowOff>161925</xdr:rowOff>
    </xdr:from>
    <xdr:to>
      <xdr:col>6</xdr:col>
      <xdr:colOff>238125</xdr:colOff>
      <xdr:row>64</xdr:row>
      <xdr:rowOff>0</xdr:rowOff>
    </xdr:to>
    <xdr:sp macro="" textlink="">
      <xdr:nvSpPr>
        <xdr:cNvPr id="498" name="Check Box 248" hidden="1">
          <a:extLst>
            <a:ext uri="{63B3BB69-23CF-44E3-9099-C40C66FF867C}">
              <a14:compatExt xmlns:a14="http://schemas.microsoft.com/office/drawing/2010/main" spid="_x0000_s1272"/>
            </a:ex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63</xdr:row>
      <xdr:rowOff>180975</xdr:rowOff>
    </xdr:from>
    <xdr:to>
      <xdr:col>6</xdr:col>
      <xdr:colOff>228600</xdr:colOff>
      <xdr:row>65</xdr:row>
      <xdr:rowOff>19050</xdr:rowOff>
    </xdr:to>
    <xdr:sp macro="" textlink="">
      <xdr:nvSpPr>
        <xdr:cNvPr id="499" name="Check Box 249" hidden="1">
          <a:extLst>
            <a:ext uri="{63B3BB69-23CF-44E3-9099-C40C66FF867C}">
              <a14:compatExt xmlns:a14="http://schemas.microsoft.com/office/drawing/2010/main" spid="_x0000_s1273"/>
            </a:ex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61</xdr:row>
      <xdr:rowOff>152400</xdr:rowOff>
    </xdr:from>
    <xdr:to>
      <xdr:col>6</xdr:col>
      <xdr:colOff>228600</xdr:colOff>
      <xdr:row>62</xdr:row>
      <xdr:rowOff>180975</xdr:rowOff>
    </xdr:to>
    <xdr:sp macro="" textlink="">
      <xdr:nvSpPr>
        <xdr:cNvPr id="500" name="Check Box 250" hidden="1">
          <a:extLst>
            <a:ext uri="{63B3BB69-23CF-44E3-9099-C40C66FF867C}">
              <a14:compatExt xmlns:a14="http://schemas.microsoft.com/office/drawing/2010/main" spid="_x0000_s1274"/>
            </a:ex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64</xdr:row>
      <xdr:rowOff>161925</xdr:rowOff>
    </xdr:from>
    <xdr:to>
      <xdr:col>6</xdr:col>
      <xdr:colOff>238125</xdr:colOff>
      <xdr:row>66</xdr:row>
      <xdr:rowOff>0</xdr:rowOff>
    </xdr:to>
    <xdr:sp macro="" textlink="">
      <xdr:nvSpPr>
        <xdr:cNvPr id="501" name="Check Box 251" hidden="1">
          <a:extLst>
            <a:ext uri="{63B3BB69-23CF-44E3-9099-C40C66FF867C}">
              <a14:compatExt xmlns:a14="http://schemas.microsoft.com/office/drawing/2010/main" spid="_x0000_s1275"/>
            </a:ex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64</xdr:row>
      <xdr:rowOff>161925</xdr:rowOff>
    </xdr:from>
    <xdr:to>
      <xdr:col>6</xdr:col>
      <xdr:colOff>238125</xdr:colOff>
      <xdr:row>66</xdr:row>
      <xdr:rowOff>0</xdr:rowOff>
    </xdr:to>
    <xdr:sp macro="" textlink="">
      <xdr:nvSpPr>
        <xdr:cNvPr id="502" name="Check Box 252" hidden="1">
          <a:extLst>
            <a:ext uri="{63B3BB69-23CF-44E3-9099-C40C66FF867C}">
              <a14:compatExt xmlns:a14="http://schemas.microsoft.com/office/drawing/2010/main" spid="_x0000_s1276"/>
            </a:ex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66</xdr:row>
      <xdr:rowOff>161925</xdr:rowOff>
    </xdr:from>
    <xdr:to>
      <xdr:col>6</xdr:col>
      <xdr:colOff>238125</xdr:colOff>
      <xdr:row>68</xdr:row>
      <xdr:rowOff>0</xdr:rowOff>
    </xdr:to>
    <xdr:sp macro="" textlink="">
      <xdr:nvSpPr>
        <xdr:cNvPr id="503" name="Check Box 253" hidden="1">
          <a:extLst>
            <a:ext uri="{63B3BB69-23CF-44E3-9099-C40C66FF867C}">
              <a14:compatExt xmlns:a14="http://schemas.microsoft.com/office/drawing/2010/main" spid="_x0000_s1277"/>
            </a:ex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67</xdr:row>
      <xdr:rowOff>180975</xdr:rowOff>
    </xdr:from>
    <xdr:to>
      <xdr:col>6</xdr:col>
      <xdr:colOff>228600</xdr:colOff>
      <xdr:row>69</xdr:row>
      <xdr:rowOff>19050</xdr:rowOff>
    </xdr:to>
    <xdr:sp macro="" textlink="">
      <xdr:nvSpPr>
        <xdr:cNvPr id="504" name="Check Box 254" hidden="1">
          <a:extLst>
            <a:ext uri="{63B3BB69-23CF-44E3-9099-C40C66FF867C}">
              <a14:compatExt xmlns:a14="http://schemas.microsoft.com/office/drawing/2010/main" spid="_x0000_s1278"/>
            </a:ex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65</xdr:row>
      <xdr:rowOff>152400</xdr:rowOff>
    </xdr:from>
    <xdr:to>
      <xdr:col>6</xdr:col>
      <xdr:colOff>228600</xdr:colOff>
      <xdr:row>66</xdr:row>
      <xdr:rowOff>180975</xdr:rowOff>
    </xdr:to>
    <xdr:sp macro="" textlink="">
      <xdr:nvSpPr>
        <xdr:cNvPr id="505" name="Check Box 255" hidden="1">
          <a:extLst>
            <a:ext uri="{63B3BB69-23CF-44E3-9099-C40C66FF867C}">
              <a14:compatExt xmlns:a14="http://schemas.microsoft.com/office/drawing/2010/main" spid="_x0000_s1279"/>
            </a:ex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68</xdr:row>
      <xdr:rowOff>161925</xdr:rowOff>
    </xdr:from>
    <xdr:to>
      <xdr:col>6</xdr:col>
      <xdr:colOff>238125</xdr:colOff>
      <xdr:row>70</xdr:row>
      <xdr:rowOff>0</xdr:rowOff>
    </xdr:to>
    <xdr:sp macro="" textlink="">
      <xdr:nvSpPr>
        <xdr:cNvPr id="506" name="Check Box 256" hidden="1">
          <a:extLst>
            <a:ext uri="{63B3BB69-23CF-44E3-9099-C40C66FF867C}">
              <a14:compatExt xmlns:a14="http://schemas.microsoft.com/office/drawing/2010/main" spid="_x0000_s1280"/>
            </a:ex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68</xdr:row>
      <xdr:rowOff>161925</xdr:rowOff>
    </xdr:from>
    <xdr:to>
      <xdr:col>6</xdr:col>
      <xdr:colOff>238125</xdr:colOff>
      <xdr:row>70</xdr:row>
      <xdr:rowOff>0</xdr:rowOff>
    </xdr:to>
    <xdr:sp macro="" textlink="">
      <xdr:nvSpPr>
        <xdr:cNvPr id="507" name="Check Box 257" hidden="1">
          <a:extLst>
            <a:ext uri="{63B3BB69-23CF-44E3-9099-C40C66FF867C}">
              <a14:compatExt xmlns:a14="http://schemas.microsoft.com/office/drawing/2010/main" spid="_x0000_s1281"/>
            </a:ex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70</xdr:row>
      <xdr:rowOff>161925</xdr:rowOff>
    </xdr:from>
    <xdr:to>
      <xdr:col>6</xdr:col>
      <xdr:colOff>238125</xdr:colOff>
      <xdr:row>72</xdr:row>
      <xdr:rowOff>0</xdr:rowOff>
    </xdr:to>
    <xdr:sp macro="" textlink="">
      <xdr:nvSpPr>
        <xdr:cNvPr id="508" name="Check Box 258" hidden="1">
          <a:extLst>
            <a:ext uri="{63B3BB69-23CF-44E3-9099-C40C66FF867C}">
              <a14:compatExt xmlns:a14="http://schemas.microsoft.com/office/drawing/2010/main" spid="_x0000_s1282"/>
            </a:ex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71</xdr:row>
      <xdr:rowOff>180975</xdr:rowOff>
    </xdr:from>
    <xdr:to>
      <xdr:col>6</xdr:col>
      <xdr:colOff>228600</xdr:colOff>
      <xdr:row>73</xdr:row>
      <xdr:rowOff>19050</xdr:rowOff>
    </xdr:to>
    <xdr:sp macro="" textlink="">
      <xdr:nvSpPr>
        <xdr:cNvPr id="509" name="Check Box 259" hidden="1">
          <a:extLst>
            <a:ext uri="{63B3BB69-23CF-44E3-9099-C40C66FF867C}">
              <a14:compatExt xmlns:a14="http://schemas.microsoft.com/office/drawing/2010/main" spid="_x0000_s1283"/>
            </a:ex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69</xdr:row>
      <xdr:rowOff>152400</xdr:rowOff>
    </xdr:from>
    <xdr:to>
      <xdr:col>6</xdr:col>
      <xdr:colOff>228600</xdr:colOff>
      <xdr:row>70</xdr:row>
      <xdr:rowOff>180975</xdr:rowOff>
    </xdr:to>
    <xdr:sp macro="" textlink="">
      <xdr:nvSpPr>
        <xdr:cNvPr id="510" name="Check Box 260" hidden="1">
          <a:extLst>
            <a:ext uri="{63B3BB69-23CF-44E3-9099-C40C66FF867C}">
              <a14:compatExt xmlns:a14="http://schemas.microsoft.com/office/drawing/2010/main" spid="_x0000_s1284"/>
            </a:ex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25</xdr:row>
      <xdr:rowOff>161925</xdr:rowOff>
    </xdr:from>
    <xdr:to>
      <xdr:col>6</xdr:col>
      <xdr:colOff>238125</xdr:colOff>
      <xdr:row>27</xdr:row>
      <xdr:rowOff>0</xdr:rowOff>
    </xdr:to>
    <xdr:sp macro="" textlink="">
      <xdr:nvSpPr>
        <xdr:cNvPr id="511" name="Check Box 261" hidden="1">
          <a:extLst>
            <a:ext uri="{63B3BB69-23CF-44E3-9099-C40C66FF867C}">
              <a14:compatExt xmlns:a14="http://schemas.microsoft.com/office/drawing/2010/main" spid="_x0000_s1285"/>
            </a:ex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25</xdr:row>
      <xdr:rowOff>161925</xdr:rowOff>
    </xdr:from>
    <xdr:to>
      <xdr:col>6</xdr:col>
      <xdr:colOff>238125</xdr:colOff>
      <xdr:row>27</xdr:row>
      <xdr:rowOff>0</xdr:rowOff>
    </xdr:to>
    <xdr:sp macro="" textlink="">
      <xdr:nvSpPr>
        <xdr:cNvPr id="576" name="Check Box 262" hidden="1">
          <a:extLst>
            <a:ext uri="{63B3BB69-23CF-44E3-9099-C40C66FF867C}">
              <a14:compatExt xmlns:a14="http://schemas.microsoft.com/office/drawing/2010/main" spid="_x0000_s1286"/>
            </a:ex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26</xdr:row>
      <xdr:rowOff>161925</xdr:rowOff>
    </xdr:from>
    <xdr:to>
      <xdr:col>6</xdr:col>
      <xdr:colOff>238125</xdr:colOff>
      <xdr:row>28</xdr:row>
      <xdr:rowOff>0</xdr:rowOff>
    </xdr:to>
    <xdr:sp macro="" textlink="">
      <xdr:nvSpPr>
        <xdr:cNvPr id="577" name="Check Box 263" hidden="1">
          <a:extLst>
            <a:ext uri="{63B3BB69-23CF-44E3-9099-C40C66FF867C}">
              <a14:compatExt xmlns:a14="http://schemas.microsoft.com/office/drawing/2010/main" spid="_x0000_s1287"/>
            </a:ex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26</xdr:row>
      <xdr:rowOff>161925</xdr:rowOff>
    </xdr:from>
    <xdr:to>
      <xdr:col>6</xdr:col>
      <xdr:colOff>238125</xdr:colOff>
      <xdr:row>28</xdr:row>
      <xdr:rowOff>0</xdr:rowOff>
    </xdr:to>
    <xdr:sp macro="" textlink="">
      <xdr:nvSpPr>
        <xdr:cNvPr id="578" name="Check Box 264" hidden="1">
          <a:extLst>
            <a:ext uri="{63B3BB69-23CF-44E3-9099-C40C66FF867C}">
              <a14:compatExt xmlns:a14="http://schemas.microsoft.com/office/drawing/2010/main" spid="_x0000_s1288"/>
            </a:ex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</xdr:colOff>
      <xdr:row>23</xdr:row>
      <xdr:rowOff>161925</xdr:rowOff>
    </xdr:from>
    <xdr:to>
      <xdr:col>6</xdr:col>
      <xdr:colOff>238125</xdr:colOff>
      <xdr:row>25</xdr:row>
      <xdr:rowOff>0</xdr:rowOff>
    </xdr:to>
    <xdr:sp macro="" textlink="">
      <xdr:nvSpPr>
        <xdr:cNvPr id="579" name="Check Box 267" hidden="1">
          <a:extLst>
            <a:ext uri="{63B3BB69-23CF-44E3-9099-C40C66FF867C}">
              <a14:compatExt xmlns:a14="http://schemas.microsoft.com/office/drawing/2010/main" spid="_x0000_s1291"/>
            </a:ex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23</xdr:row>
      <xdr:rowOff>0</xdr:rowOff>
    </xdr:from>
    <xdr:to>
      <xdr:col>6</xdr:col>
      <xdr:colOff>228600</xdr:colOff>
      <xdr:row>24</xdr:row>
      <xdr:rowOff>28575</xdr:rowOff>
    </xdr:to>
    <xdr:sp macro="" textlink="">
      <xdr:nvSpPr>
        <xdr:cNvPr id="580" name="Check Box 268" hidden="1">
          <a:extLst>
            <a:ext uri="{63B3BB69-23CF-44E3-9099-C40C66FF867C}">
              <a14:compatExt xmlns:a14="http://schemas.microsoft.com/office/drawing/2010/main" spid="_x0000_s1292"/>
            </a:ex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0.60247</cdr:x>
      <cdr:y>0.31183</cdr:y>
    </cdr:from>
    <cdr:to>
      <cdr:x>0.97227</cdr:x>
      <cdr:y>0.47312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4720F16-314C-4C8C-BE18-641487125A5A}"/>
            </a:ext>
          </a:extLst>
        </cdr:cNvPr>
        <cdr:cNvSpPr txBox="1"/>
      </cdr:nvSpPr>
      <cdr:spPr>
        <a:xfrm xmlns:a="http://schemas.openxmlformats.org/drawingml/2006/main">
          <a:off x="1862137" y="552452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chemeClr val="bg1"/>
              </a:solidFill>
            </a:rPr>
            <a:t>A Fazer</a:t>
          </a:r>
        </a:p>
      </cdr:txBody>
    </cdr:sp>
  </cdr:relSizeAnchor>
  <cdr:relSizeAnchor xmlns:cdr="http://schemas.openxmlformats.org/drawingml/2006/chartDrawing">
    <cdr:from>
      <cdr:x>0.60195</cdr:x>
      <cdr:y>0.43728</cdr:y>
    </cdr:from>
    <cdr:to>
      <cdr:x>0.97175</cdr:x>
      <cdr:y>0.59857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000A38B-6A39-4309-B5DC-57EC871B433C}"/>
            </a:ext>
          </a:extLst>
        </cdr:cNvPr>
        <cdr:cNvSpPr txBox="1"/>
      </cdr:nvSpPr>
      <cdr:spPr>
        <a:xfrm xmlns:a="http://schemas.openxmlformats.org/drawingml/2006/main">
          <a:off x="1860550" y="774700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solidFill>
                <a:schemeClr val="bg1"/>
              </a:solidFill>
            </a:rPr>
            <a:t>Feito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0.60247</cdr:x>
      <cdr:y>0.31183</cdr:y>
    </cdr:from>
    <cdr:to>
      <cdr:x>0.97227</cdr:x>
      <cdr:y>0.47312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4720F16-314C-4C8C-BE18-641487125A5A}"/>
            </a:ext>
          </a:extLst>
        </cdr:cNvPr>
        <cdr:cNvSpPr txBox="1"/>
      </cdr:nvSpPr>
      <cdr:spPr>
        <a:xfrm xmlns:a="http://schemas.openxmlformats.org/drawingml/2006/main">
          <a:off x="1862137" y="552452"/>
          <a:ext cx="1143000" cy="2857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chemeClr val="bg1"/>
              </a:solidFill>
            </a:rPr>
            <a:t>Pendente</a:t>
          </a:r>
        </a:p>
      </cdr:txBody>
    </cdr:sp>
  </cdr:relSizeAnchor>
  <cdr:relSizeAnchor xmlns:cdr="http://schemas.openxmlformats.org/drawingml/2006/chartDrawing">
    <cdr:from>
      <cdr:x>0.60195</cdr:x>
      <cdr:y>0.43728</cdr:y>
    </cdr:from>
    <cdr:to>
      <cdr:x>0.97175</cdr:x>
      <cdr:y>0.59857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000A38B-6A39-4309-B5DC-57EC871B433C}"/>
            </a:ext>
          </a:extLst>
        </cdr:cNvPr>
        <cdr:cNvSpPr txBox="1"/>
      </cdr:nvSpPr>
      <cdr:spPr>
        <a:xfrm xmlns:a="http://schemas.openxmlformats.org/drawingml/2006/main">
          <a:off x="1860550" y="774700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200">
              <a:solidFill>
                <a:schemeClr val="bg1"/>
              </a:solidFill>
            </a:rPr>
            <a:t>Revisado</a:t>
          </a:r>
          <a:endParaRPr lang="pt-BR" sz="1100">
            <a:solidFill>
              <a:schemeClr val="bg1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5</xdr:row>
          <xdr:rowOff>57150</xdr:rowOff>
        </xdr:from>
        <xdr:to>
          <xdr:col>55</xdr:col>
          <xdr:colOff>190500</xdr:colOff>
          <xdr:row>6</xdr:row>
          <xdr:rowOff>190500</xdr:rowOff>
        </xdr:to>
        <xdr:sp macro="" textlink="">
          <xdr:nvSpPr>
            <xdr:cNvPr id="6145" name="Barra de Rolagem 5" descr="Scroll bar to scroll through the Ghantt project timeline.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47626</xdr:colOff>
      <xdr:row>0</xdr:row>
      <xdr:rowOff>2</xdr:rowOff>
    </xdr:from>
    <xdr:to>
      <xdr:col>0</xdr:col>
      <xdr:colOff>2655094</xdr:colOff>
      <xdr:row>4</xdr:row>
      <xdr:rowOff>142712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  <a:ext uri="{147F2762-F138-4A5C-976F-8EAC2B608ADB}">
              <a16:predDERef xmlns:a16="http://schemas.microsoft.com/office/drawing/2014/main" pred="{00000000-0008-0000-0400-00000118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1" t="5453" r="16607" b="11185"/>
        <a:stretch/>
      </xdr:blipFill>
      <xdr:spPr>
        <a:xfrm>
          <a:off x="47626" y="2"/>
          <a:ext cx="2607468" cy="1790535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700-000003000000}"/>
            </a:ext>
            <a:ext uri="{147F2762-F138-4A5C-976F-8EAC2B608ADB}">
              <a16:predDERef xmlns:a16="http://schemas.microsoft.com/office/drawing/2014/main" pred="{5113264B-20BD-481B-BCE2-4ACBC7E420F3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700-000004000000}"/>
            </a:ext>
            <a:ext uri="{147F2762-F138-4A5C-976F-8EAC2B608ADB}">
              <a16:predDERef xmlns:a16="http://schemas.microsoft.com/office/drawing/2014/main" pred="{EA200C43-A8D7-4014-AD6D-5CE522D8EA84}"/>
            </a:ext>
          </a:extLst>
        </xdr:cNvPr>
        <xdr:cNvGrpSpPr>
          <a:grpSpLocks/>
        </xdr:cNvGrpSpPr>
      </xdr:nvGrpSpPr>
      <xdr:grpSpPr bwMode="auto">
        <a:xfrm>
          <a:off x="13725525" y="231457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7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700-000009000000}"/>
            </a:ext>
            <a:ext uri="{147F2762-F138-4A5C-976F-8EAC2B608ADB}">
              <a16:predDERef xmlns:a16="http://schemas.microsoft.com/office/drawing/2014/main" pred="{A542779A-1F89-49BA-803D-6541BAA2162F}"/>
            </a:ext>
          </a:extLst>
        </xdr:cNvPr>
        <xdr:cNvGrpSpPr>
          <a:grpSpLocks/>
        </xdr:cNvGrpSpPr>
      </xdr:nvGrpSpPr>
      <xdr:grpSpPr bwMode="auto">
        <a:xfrm>
          <a:off x="285750" y="229552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7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7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700-00000E000000}"/>
            </a:ext>
            <a:ext uri="{147F2762-F138-4A5C-976F-8EAC2B608ADB}">
              <a16:predDERef xmlns:a16="http://schemas.microsoft.com/office/drawing/2014/main" pred="{A0BAC64B-FE5B-4129-96C7-2B94EAD4AAF5}"/>
            </a:ext>
          </a:extLst>
        </xdr:cNvPr>
        <xdr:cNvGrpSpPr>
          <a:grpSpLocks/>
        </xdr:cNvGrpSpPr>
      </xdr:nvGrpSpPr>
      <xdr:grpSpPr bwMode="auto">
        <a:xfrm>
          <a:off x="11382375" y="231457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7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7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700-000013000000}"/>
            </a:ext>
            <a:ext uri="{147F2762-F138-4A5C-976F-8EAC2B608ADB}">
              <a16:predDERef xmlns:a16="http://schemas.microsoft.com/office/drawing/2014/main" pred="{4EAF5EC9-0D77-4445-AC30-DB947A4987C0}"/>
            </a:ext>
          </a:extLst>
        </xdr:cNvPr>
        <xdr:cNvGrpSpPr>
          <a:grpSpLocks/>
        </xdr:cNvGrpSpPr>
      </xdr:nvGrpSpPr>
      <xdr:grpSpPr bwMode="auto">
        <a:xfrm>
          <a:off x="9058275" y="230505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7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7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700-000018000000}"/>
            </a:ext>
            <a:ext uri="{147F2762-F138-4A5C-976F-8EAC2B608ADB}">
              <a16:predDERef xmlns:a16="http://schemas.microsoft.com/office/drawing/2014/main" pred="{0D9D1339-7A74-4DA4-A27E-BDD050B2B153}"/>
            </a:ext>
          </a:extLst>
        </xdr:cNvPr>
        <xdr:cNvGrpSpPr>
          <a:grpSpLocks/>
        </xdr:cNvGrpSpPr>
      </xdr:nvGrpSpPr>
      <xdr:grpSpPr bwMode="auto">
        <a:xfrm>
          <a:off x="6677025" y="231457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700-00001D000000}"/>
            </a:ext>
            <a:ext uri="{147F2762-F138-4A5C-976F-8EAC2B608ADB}">
              <a16:predDERef xmlns:a16="http://schemas.microsoft.com/office/drawing/2014/main" pred="{F2B6E201-BCC3-4AE4-A654-9EAD1FB58107}"/>
            </a:ext>
          </a:extLst>
        </xdr:cNvPr>
        <xdr:cNvGrpSpPr>
          <a:grpSpLocks/>
        </xdr:cNvGrpSpPr>
      </xdr:nvGrpSpPr>
      <xdr:grpSpPr bwMode="auto">
        <a:xfrm>
          <a:off x="2200275" y="231457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7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7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1914525</xdr:colOff>
      <xdr:row>12</xdr:row>
      <xdr:rowOff>85725</xdr:rowOff>
    </xdr:from>
    <xdr:to>
      <xdr:col>2</xdr:col>
      <xdr:colOff>676275</xdr:colOff>
      <xdr:row>20</xdr:row>
      <xdr:rowOff>152400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700-000022000000}"/>
            </a:ext>
            <a:ext uri="{147F2762-F138-4A5C-976F-8EAC2B608ADB}">
              <a16:predDERef xmlns:a16="http://schemas.microsoft.com/office/drawing/2014/main" pred="{63141963-613A-4C4B-B09F-399CEE5C71D0}"/>
            </a:ext>
          </a:extLst>
        </xdr:cNvPr>
        <xdr:cNvGrpSpPr>
          <a:grpSpLocks/>
        </xdr:cNvGrpSpPr>
      </xdr:nvGrpSpPr>
      <xdr:grpSpPr bwMode="auto">
        <a:xfrm>
          <a:off x="4295775" y="229552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7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7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7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7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0</xdr:col>
      <xdr:colOff>590550</xdr:colOff>
      <xdr:row>12</xdr:row>
      <xdr:rowOff>38100</xdr:rowOff>
    </xdr:from>
    <xdr:ext cx="171450" cy="304800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700-000027000000}"/>
            </a:ext>
            <a:ext uri="{147F2762-F138-4A5C-976F-8EAC2B608ADB}">
              <a16:predDERef xmlns:a16="http://schemas.microsoft.com/office/drawing/2014/main" pred="{CD25C3B6-C51F-4CED-A158-E59B79B29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0550" y="1981200"/>
          <a:ext cx="171450" cy="30480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12</xdr:row>
      <xdr:rowOff>76200</xdr:rowOff>
    </xdr:from>
    <xdr:ext cx="133350" cy="247650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700-000028000000}"/>
            </a:ext>
            <a:ext uri="{147F2762-F138-4A5C-976F-8EAC2B608ADB}">
              <a16:predDERef xmlns:a16="http://schemas.microsoft.com/office/drawing/2014/main" pred="{BBDE9D14-E774-4D22-96DB-379EEA56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400175" y="2019300"/>
          <a:ext cx="133350" cy="247650"/>
        </a:xfrm>
        <a:prstGeom prst="rect">
          <a:avLst/>
        </a:prstGeom>
      </xdr:spPr>
    </xdr:pic>
    <xdr:clientData/>
  </xdr:oneCellAnchor>
  <xdr:oneCellAnchor>
    <xdr:from>
      <xdr:col>4</xdr:col>
      <xdr:colOff>400050</xdr:colOff>
      <xdr:row>12</xdr:row>
      <xdr:rowOff>95250</xdr:rowOff>
    </xdr:from>
    <xdr:ext cx="152400" cy="247650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700-000029000000}"/>
            </a:ext>
            <a:ext uri="{147F2762-F138-4A5C-976F-8EAC2B608ADB}">
              <a16:predDERef xmlns:a16="http://schemas.microsoft.com/office/drawing/2014/main" pred="{FC077E98-C727-4E4B-BA77-A69E2968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2838450" y="2038350"/>
          <a:ext cx="152400" cy="247650"/>
        </a:xfrm>
        <a:prstGeom prst="rect">
          <a:avLst/>
        </a:prstGeom>
      </xdr:spPr>
    </xdr:pic>
    <xdr:clientData/>
  </xdr:oneCellAnchor>
  <xdr:oneCellAnchor>
    <xdr:from>
      <xdr:col>5</xdr:col>
      <xdr:colOff>428625</xdr:colOff>
      <xdr:row>12</xdr:row>
      <xdr:rowOff>95250</xdr:rowOff>
    </xdr:from>
    <xdr:ext cx="133350" cy="247650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700-00002A000000}"/>
            </a:ext>
            <a:ext uri="{147F2762-F138-4A5C-976F-8EAC2B608ADB}">
              <a16:predDERef xmlns:a16="http://schemas.microsoft.com/office/drawing/2014/main" pred="{C34E7257-4CD1-4969-9C2E-AA38DF93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3476625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25</xdr:row>
      <xdr:rowOff>28575</xdr:rowOff>
    </xdr:from>
    <xdr:ext cx="133350" cy="247650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700-00002B000000}"/>
            </a:ext>
            <a:ext uri="{147F2762-F138-4A5C-976F-8EAC2B608ADB}">
              <a16:predDERef xmlns:a16="http://schemas.microsoft.com/office/drawing/2014/main" pred="{43BD6A20-C6E7-4BF2-8124-3DB1E7C8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485775" y="4076700"/>
          <a:ext cx="133350" cy="247650"/>
        </a:xfrm>
        <a:prstGeom prst="rect">
          <a:avLst/>
        </a:prstGeom>
      </xdr:spPr>
    </xdr:pic>
    <xdr:clientData/>
  </xdr:oneCellAnchor>
  <xdr:oneCellAnchor>
    <xdr:from>
      <xdr:col>3</xdr:col>
      <xdr:colOff>1419225</xdr:colOff>
      <xdr:row>25</xdr:row>
      <xdr:rowOff>9525</xdr:rowOff>
    </xdr:from>
    <xdr:ext cx="133350" cy="247650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700-00002C000000}"/>
            </a:ext>
            <a:ext uri="{147F2762-F138-4A5C-976F-8EAC2B608ADB}">
              <a16:predDERef xmlns:a16="http://schemas.microsoft.com/office/drawing/2014/main" pred="{C3B3AF53-3D38-476D-89C0-68F11FA8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2438400" y="4057650"/>
          <a:ext cx="133350" cy="247650"/>
        </a:xfrm>
        <a:prstGeom prst="rect">
          <a:avLst/>
        </a:prstGeom>
      </xdr:spPr>
    </xdr:pic>
    <xdr:clientData/>
  </xdr:oneCellAnchor>
  <xdr:oneCellAnchor>
    <xdr:from>
      <xdr:col>2</xdr:col>
      <xdr:colOff>1924050</xdr:colOff>
      <xdr:row>25</xdr:row>
      <xdr:rowOff>9525</xdr:rowOff>
    </xdr:from>
    <xdr:ext cx="133350" cy="247650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700-00002D000000}"/>
            </a:ext>
            <a:ext uri="{147F2762-F138-4A5C-976F-8EAC2B608ADB}">
              <a16:predDERef xmlns:a16="http://schemas.microsoft.com/office/drawing/2014/main" pred="{AE6F09B0-0A76-48C5-9E5A-F0D584E3E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828800" y="4057650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31</xdr:row>
      <xdr:rowOff>104775</xdr:rowOff>
    </xdr:from>
    <xdr:ext cx="133350" cy="247650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700-00002E000000}"/>
            </a:ext>
            <a:ext uri="{147F2762-F138-4A5C-976F-8EAC2B608ADB}">
              <a16:predDERef xmlns:a16="http://schemas.microsoft.com/office/drawing/2014/main" pred="{ED2E78D0-6906-4B30-91B7-C074FA37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76200" y="5124450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32</xdr:row>
      <xdr:rowOff>123825</xdr:rowOff>
    </xdr:from>
    <xdr:ext cx="133350" cy="247650"/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700-00002F000000}"/>
            </a:ext>
            <a:ext uri="{147F2762-F138-4A5C-976F-8EAC2B608ADB}">
              <a16:predDERef xmlns:a16="http://schemas.microsoft.com/office/drawing/2014/main" pred="{86114C36-109E-488F-A67A-9517DACF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76200" y="530542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34</xdr:row>
      <xdr:rowOff>114300</xdr:rowOff>
    </xdr:from>
    <xdr:ext cx="133350" cy="247650"/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700-000030000000}"/>
            </a:ext>
            <a:ext uri="{147F2762-F138-4A5C-976F-8EAC2B608ADB}">
              <a16:predDERef xmlns:a16="http://schemas.microsoft.com/office/drawing/2014/main" pred="{AB6828EE-E6CC-4710-8F65-4AC193DD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76200" y="5619750"/>
          <a:ext cx="133350" cy="2476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3E989725-73CA-4F5C-9016-F57410773B16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79E830DB-E681-4D50-BDD1-6076C32DD98B}"/>
            </a:ext>
          </a:extLst>
        </xdr:cNvPr>
        <xdr:cNvGrpSpPr>
          <a:grpSpLocks/>
        </xdr:cNvGrpSpPr>
      </xdr:nvGrpSpPr>
      <xdr:grpSpPr bwMode="auto">
        <a:xfrm>
          <a:off x="13725525" y="231457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600-000009000000}"/>
            </a:ext>
            <a:ext uri="{147F2762-F138-4A5C-976F-8EAC2B608ADB}">
              <a16:predDERef xmlns:a16="http://schemas.microsoft.com/office/drawing/2014/main" pred="{A3A2AB98-DCA2-4D77-BA0B-79128DC529E8}"/>
            </a:ext>
          </a:extLst>
        </xdr:cNvPr>
        <xdr:cNvGrpSpPr>
          <a:grpSpLocks/>
        </xdr:cNvGrpSpPr>
      </xdr:nvGrpSpPr>
      <xdr:grpSpPr bwMode="auto">
        <a:xfrm>
          <a:off x="285750" y="229552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600-00000E000000}"/>
            </a:ext>
            <a:ext uri="{147F2762-F138-4A5C-976F-8EAC2B608ADB}">
              <a16:predDERef xmlns:a16="http://schemas.microsoft.com/office/drawing/2014/main" pred="{B2CFE09A-EC17-4FCC-ACB3-BEEA37235234}"/>
            </a:ext>
          </a:extLst>
        </xdr:cNvPr>
        <xdr:cNvGrpSpPr>
          <a:grpSpLocks/>
        </xdr:cNvGrpSpPr>
      </xdr:nvGrpSpPr>
      <xdr:grpSpPr bwMode="auto">
        <a:xfrm>
          <a:off x="11382375" y="231457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600-000013000000}"/>
            </a:ext>
            <a:ext uri="{147F2762-F138-4A5C-976F-8EAC2B608ADB}">
              <a16:predDERef xmlns:a16="http://schemas.microsoft.com/office/drawing/2014/main" pred="{D709AFF4-FC54-43E2-90D7-2D71F86D0ADB}"/>
            </a:ext>
          </a:extLst>
        </xdr:cNvPr>
        <xdr:cNvGrpSpPr>
          <a:grpSpLocks/>
        </xdr:cNvGrpSpPr>
      </xdr:nvGrpSpPr>
      <xdr:grpSpPr bwMode="auto">
        <a:xfrm>
          <a:off x="9058275" y="230505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600-000018000000}"/>
            </a:ext>
            <a:ext uri="{147F2762-F138-4A5C-976F-8EAC2B608ADB}">
              <a16:predDERef xmlns:a16="http://schemas.microsoft.com/office/drawing/2014/main" pred="{3B009B3D-11CA-4D68-8779-7EC32AFFF847}"/>
            </a:ext>
          </a:extLst>
        </xdr:cNvPr>
        <xdr:cNvGrpSpPr>
          <a:grpSpLocks/>
        </xdr:cNvGrpSpPr>
      </xdr:nvGrpSpPr>
      <xdr:grpSpPr bwMode="auto">
        <a:xfrm>
          <a:off x="6677025" y="231457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6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600-00001D000000}"/>
            </a:ext>
            <a:ext uri="{147F2762-F138-4A5C-976F-8EAC2B608ADB}">
              <a16:predDERef xmlns:a16="http://schemas.microsoft.com/office/drawing/2014/main" pred="{DDBF5306-7EB1-4199-ACE1-2D052F341B59}"/>
            </a:ext>
          </a:extLst>
        </xdr:cNvPr>
        <xdr:cNvGrpSpPr>
          <a:grpSpLocks/>
        </xdr:cNvGrpSpPr>
      </xdr:nvGrpSpPr>
      <xdr:grpSpPr bwMode="auto">
        <a:xfrm>
          <a:off x="2200275" y="231457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6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600-000022000000}"/>
            </a:ext>
            <a:ext uri="{147F2762-F138-4A5C-976F-8EAC2B608ADB}">
              <a16:predDERef xmlns:a16="http://schemas.microsoft.com/office/drawing/2014/main" pred="{CB30CA6D-50C4-46C7-B84F-BA6F3587787B}"/>
            </a:ext>
          </a:extLst>
        </xdr:cNvPr>
        <xdr:cNvGrpSpPr>
          <a:grpSpLocks/>
        </xdr:cNvGrpSpPr>
      </xdr:nvGrpSpPr>
      <xdr:grpSpPr bwMode="auto">
        <a:xfrm>
          <a:off x="4438650" y="232410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6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6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6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6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800-000003000000}"/>
            </a:ext>
            <a:ext uri="{147F2762-F138-4A5C-976F-8EAC2B608ADB}">
              <a16:predDERef xmlns:a16="http://schemas.microsoft.com/office/drawing/2014/main" pred="{CBD1038A-3BAF-47D6-B5A6-E884CFACF014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187AC573-DE25-40B6-92FF-CB6FCA1E2EAF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8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800-000009000000}"/>
            </a:ext>
            <a:ext uri="{147F2762-F138-4A5C-976F-8EAC2B608ADB}">
              <a16:predDERef xmlns:a16="http://schemas.microsoft.com/office/drawing/2014/main" pred="{C3FB642C-437A-46E2-8C1D-4CF88231BEEA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8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8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800-00000E000000}"/>
            </a:ext>
            <a:ext uri="{147F2762-F138-4A5C-976F-8EAC2B608ADB}">
              <a16:predDERef xmlns:a16="http://schemas.microsoft.com/office/drawing/2014/main" pred="{A7405FAD-5002-4EB4-8DF8-0CD8F2A5A2FA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8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8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800-000013000000}"/>
            </a:ext>
            <a:ext uri="{147F2762-F138-4A5C-976F-8EAC2B608ADB}">
              <a16:predDERef xmlns:a16="http://schemas.microsoft.com/office/drawing/2014/main" pred="{708A6E2A-58D0-4988-98E5-2990BEEF72D9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8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8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800-000018000000}"/>
            </a:ext>
            <a:ext uri="{147F2762-F138-4A5C-976F-8EAC2B608ADB}">
              <a16:predDERef xmlns:a16="http://schemas.microsoft.com/office/drawing/2014/main" pred="{6C085FC5-3F2A-42C8-8846-B6A3D72FE944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8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8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800-00001D000000}"/>
            </a:ext>
            <a:ext uri="{147F2762-F138-4A5C-976F-8EAC2B608ADB}">
              <a16:predDERef xmlns:a16="http://schemas.microsoft.com/office/drawing/2014/main" pred="{B28357F1-1B3E-469A-BF62-DD1388048FA8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8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8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8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800-000022000000}"/>
            </a:ext>
            <a:ext uri="{147F2762-F138-4A5C-976F-8EAC2B608ADB}">
              <a16:predDERef xmlns:a16="http://schemas.microsoft.com/office/drawing/2014/main" pred="{E4C169E3-ADB8-42E8-8107-E2E60224E1C5}"/>
            </a:ext>
          </a:extLst>
        </xdr:cNvPr>
        <xdr:cNvGrpSpPr>
          <a:grpSpLocks/>
        </xdr:cNvGrpSpPr>
      </xdr:nvGrpSpPr>
      <xdr:grpSpPr bwMode="auto">
        <a:xfrm>
          <a:off x="4438650" y="231457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8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8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8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3</xdr:col>
      <xdr:colOff>1600200</xdr:colOff>
      <xdr:row>7</xdr:row>
      <xdr:rowOff>19050</xdr:rowOff>
    </xdr:from>
    <xdr:ext cx="133350" cy="247650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800-000027000000}"/>
            </a:ext>
            <a:ext uri="{147F2762-F138-4A5C-976F-8EAC2B608ADB}">
              <a16:predDERef xmlns:a16="http://schemas.microsoft.com/office/drawing/2014/main" pred="{594B61DD-8913-44C7-820B-8F26B0D6E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115252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25</xdr:row>
      <xdr:rowOff>19050</xdr:rowOff>
    </xdr:from>
    <xdr:ext cx="133350" cy="247650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800-000028000000}"/>
            </a:ext>
            <a:ext uri="{147F2762-F138-4A5C-976F-8EAC2B608ADB}">
              <a16:predDERef xmlns:a16="http://schemas.microsoft.com/office/drawing/2014/main" pred="{DF6F0918-376A-43C7-AC62-786AB73B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76250" y="4067175"/>
          <a:ext cx="133350" cy="247650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12</xdr:row>
      <xdr:rowOff>95250</xdr:rowOff>
    </xdr:from>
    <xdr:ext cx="133350" cy="247650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800-000029000000}"/>
            </a:ext>
            <a:ext uri="{147F2762-F138-4A5C-976F-8EAC2B608ADB}">
              <a16:predDERef xmlns:a16="http://schemas.microsoft.com/office/drawing/2014/main" pred="{55DF9D8C-B0AE-4AAE-939E-E4ED8211B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038350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1</xdr:col>
      <xdr:colOff>200025</xdr:colOff>
      <xdr:row>12</xdr:row>
      <xdr:rowOff>95250</xdr:rowOff>
    </xdr:from>
    <xdr:ext cx="133350" cy="247650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800-00002A000000}"/>
            </a:ext>
            <a:ext uri="{147F2762-F138-4A5C-976F-8EAC2B608ADB}">
              <a16:predDERef xmlns:a16="http://schemas.microsoft.com/office/drawing/2014/main" pred="{5839241E-A67B-498A-BAFC-C93E05D02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09625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428625</xdr:colOff>
      <xdr:row>12</xdr:row>
      <xdr:rowOff>76200</xdr:rowOff>
    </xdr:from>
    <xdr:ext cx="133350" cy="247650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800-00002B000000}"/>
            </a:ext>
            <a:ext uri="{147F2762-F138-4A5C-976F-8EAC2B608ADB}">
              <a16:predDERef xmlns:a16="http://schemas.microsoft.com/office/drawing/2014/main" pred="{331D21EC-6B78-478B-AD36-6C4F2764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476625" y="2019300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2752725</xdr:colOff>
      <xdr:row>12</xdr:row>
      <xdr:rowOff>76200</xdr:rowOff>
    </xdr:from>
    <xdr:ext cx="133350" cy="247650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800-00002C000000}"/>
            </a:ext>
            <a:ext uri="{147F2762-F138-4A5C-976F-8EAC2B608ADB}">
              <a16:predDERef xmlns:a16="http://schemas.microsoft.com/office/drawing/2014/main" pred="{22F12A46-31B4-4193-B93A-9E39FE2C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657600" y="2019300"/>
          <a:ext cx="133350" cy="247650"/>
        </a:xfrm>
        <a:prstGeom prst="rect">
          <a:avLst/>
        </a:prstGeom>
      </xdr:spPr>
    </xdr:pic>
    <xdr:clientData/>
  </xdr:oneCellAnchor>
  <xdr:oneCellAnchor>
    <xdr:from>
      <xdr:col>4</xdr:col>
      <xdr:colOff>219075</xdr:colOff>
      <xdr:row>25</xdr:row>
      <xdr:rowOff>0</xdr:rowOff>
    </xdr:from>
    <xdr:ext cx="133350" cy="247650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800-00002D000000}"/>
            </a:ext>
            <a:ext uri="{147F2762-F138-4A5C-976F-8EAC2B608ADB}">
              <a16:predDERef xmlns:a16="http://schemas.microsoft.com/office/drawing/2014/main" pred="{61BCE160-9516-47BA-8B2D-35EBA527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657475" y="4048125"/>
          <a:ext cx="133350" cy="247650"/>
        </a:xfrm>
        <a:prstGeom prst="rect">
          <a:avLst/>
        </a:prstGeom>
      </xdr:spPr>
    </xdr:pic>
    <xdr:clientData/>
  </xdr:oneCellAnchor>
  <xdr:oneCellAnchor>
    <xdr:from>
      <xdr:col>3</xdr:col>
      <xdr:colOff>1428750</xdr:colOff>
      <xdr:row>25</xdr:row>
      <xdr:rowOff>0</xdr:rowOff>
    </xdr:from>
    <xdr:ext cx="133350" cy="247650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800-00002E000000}"/>
            </a:ext>
            <a:ext uri="{147F2762-F138-4A5C-976F-8EAC2B608ADB}">
              <a16:predDERef xmlns:a16="http://schemas.microsoft.com/office/drawing/2014/main" pred="{8C2DA798-C1F5-4774-8F0F-C1B015830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4048125"/>
          <a:ext cx="133350" cy="247650"/>
        </a:xfrm>
        <a:prstGeom prst="rect">
          <a:avLst/>
        </a:prstGeom>
      </xdr:spPr>
    </xdr:pic>
    <xdr:clientData/>
  </xdr:oneCellAnchor>
  <xdr:oneCellAnchor>
    <xdr:from>
      <xdr:col>2</xdr:col>
      <xdr:colOff>1914525</xdr:colOff>
      <xdr:row>25</xdr:row>
      <xdr:rowOff>19050</xdr:rowOff>
    </xdr:from>
    <xdr:ext cx="133350" cy="247650"/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800-00002F000000}"/>
            </a:ext>
            <a:ext uri="{147F2762-F138-4A5C-976F-8EAC2B608ADB}">
              <a16:predDERef xmlns:a16="http://schemas.microsoft.com/office/drawing/2014/main" pred="{E1F39040-CB3B-4FAA-8404-B58F82125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828800" y="406717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31</xdr:row>
      <xdr:rowOff>152400</xdr:rowOff>
    </xdr:from>
    <xdr:ext cx="104775" cy="200025"/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800-000030000000}"/>
            </a:ext>
            <a:ext uri="{147F2762-F138-4A5C-976F-8EAC2B608ADB}">
              <a16:predDERef xmlns:a16="http://schemas.microsoft.com/office/drawing/2014/main" pred="{497AEAE9-68AC-48D0-A5FB-972B0BBB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5725" y="5172075"/>
          <a:ext cx="104775" cy="200025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32</xdr:row>
      <xdr:rowOff>152400</xdr:rowOff>
    </xdr:from>
    <xdr:ext cx="104775" cy="190500"/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800-000031000000}"/>
            </a:ext>
            <a:ext uri="{147F2762-F138-4A5C-976F-8EAC2B608ADB}">
              <a16:predDERef xmlns:a16="http://schemas.microsoft.com/office/drawing/2014/main" pred="{FAFBA34E-167F-428E-9FF6-54A33D01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5725" y="5334000"/>
          <a:ext cx="104775" cy="19050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34</xdr:row>
      <xdr:rowOff>123825</xdr:rowOff>
    </xdr:from>
    <xdr:ext cx="133350" cy="247650"/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800-000032000000}"/>
            </a:ext>
            <a:ext uri="{147F2762-F138-4A5C-976F-8EAC2B608ADB}">
              <a16:predDERef xmlns:a16="http://schemas.microsoft.com/office/drawing/2014/main" pred="{F5217D99-0C8B-4A50-ACAE-5D4C7F8BC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6675" y="5629275"/>
          <a:ext cx="133350" cy="2476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900-000003000000}"/>
            </a:ext>
            <a:ext uri="{147F2762-F138-4A5C-976F-8EAC2B608ADB}">
              <a16:predDERef xmlns:a16="http://schemas.microsoft.com/office/drawing/2014/main" pred="{3E989725-73CA-4F5C-9016-F57410773B16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900-000004000000}"/>
            </a:ext>
            <a:ext uri="{147F2762-F138-4A5C-976F-8EAC2B608ADB}">
              <a16:predDERef xmlns:a16="http://schemas.microsoft.com/office/drawing/2014/main" pred="{79E830DB-E681-4D50-BDD1-6076C32DD98B}"/>
            </a:ext>
          </a:extLst>
        </xdr:cNvPr>
        <xdr:cNvGrpSpPr>
          <a:grpSpLocks/>
        </xdr:cNvGrpSpPr>
      </xdr:nvGrpSpPr>
      <xdr:grpSpPr bwMode="auto">
        <a:xfrm>
          <a:off x="13725525" y="231457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900-000009000000}"/>
            </a:ext>
            <a:ext uri="{147F2762-F138-4A5C-976F-8EAC2B608ADB}">
              <a16:predDERef xmlns:a16="http://schemas.microsoft.com/office/drawing/2014/main" pred="{A3A2AB98-DCA2-4D77-BA0B-79128DC529E8}"/>
            </a:ext>
          </a:extLst>
        </xdr:cNvPr>
        <xdr:cNvGrpSpPr>
          <a:grpSpLocks/>
        </xdr:cNvGrpSpPr>
      </xdr:nvGrpSpPr>
      <xdr:grpSpPr bwMode="auto">
        <a:xfrm>
          <a:off x="285750" y="229552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900-00000E000000}"/>
            </a:ext>
            <a:ext uri="{147F2762-F138-4A5C-976F-8EAC2B608ADB}">
              <a16:predDERef xmlns:a16="http://schemas.microsoft.com/office/drawing/2014/main" pred="{B2CFE09A-EC17-4FCC-ACB3-BEEA37235234}"/>
            </a:ext>
          </a:extLst>
        </xdr:cNvPr>
        <xdr:cNvGrpSpPr>
          <a:grpSpLocks/>
        </xdr:cNvGrpSpPr>
      </xdr:nvGrpSpPr>
      <xdr:grpSpPr bwMode="auto">
        <a:xfrm>
          <a:off x="11382375" y="231457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9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900-000013000000}"/>
            </a:ext>
            <a:ext uri="{147F2762-F138-4A5C-976F-8EAC2B608ADB}">
              <a16:predDERef xmlns:a16="http://schemas.microsoft.com/office/drawing/2014/main" pred="{D709AFF4-FC54-43E2-90D7-2D71F86D0ADB}"/>
            </a:ext>
          </a:extLst>
        </xdr:cNvPr>
        <xdr:cNvGrpSpPr>
          <a:grpSpLocks/>
        </xdr:cNvGrpSpPr>
      </xdr:nvGrpSpPr>
      <xdr:grpSpPr bwMode="auto">
        <a:xfrm>
          <a:off x="9058275" y="230505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9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9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900-000018000000}"/>
            </a:ext>
            <a:ext uri="{147F2762-F138-4A5C-976F-8EAC2B608ADB}">
              <a16:predDERef xmlns:a16="http://schemas.microsoft.com/office/drawing/2014/main" pred="{3B009B3D-11CA-4D68-8779-7EC32AFFF847}"/>
            </a:ext>
          </a:extLst>
        </xdr:cNvPr>
        <xdr:cNvGrpSpPr>
          <a:grpSpLocks/>
        </xdr:cNvGrpSpPr>
      </xdr:nvGrpSpPr>
      <xdr:grpSpPr bwMode="auto">
        <a:xfrm>
          <a:off x="6677025" y="231457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9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9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900-00001D000000}"/>
            </a:ext>
            <a:ext uri="{147F2762-F138-4A5C-976F-8EAC2B608ADB}">
              <a16:predDERef xmlns:a16="http://schemas.microsoft.com/office/drawing/2014/main" pred="{DDBF5306-7EB1-4199-ACE1-2D052F341B59}"/>
            </a:ext>
          </a:extLst>
        </xdr:cNvPr>
        <xdr:cNvGrpSpPr>
          <a:grpSpLocks/>
        </xdr:cNvGrpSpPr>
      </xdr:nvGrpSpPr>
      <xdr:grpSpPr bwMode="auto">
        <a:xfrm>
          <a:off x="2200275" y="231457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9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9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900-000022000000}"/>
            </a:ext>
            <a:ext uri="{147F2762-F138-4A5C-976F-8EAC2B608ADB}">
              <a16:predDERef xmlns:a16="http://schemas.microsoft.com/office/drawing/2014/main" pred="{CB30CA6D-50C4-46C7-B84F-BA6F3587787B}"/>
            </a:ext>
          </a:extLst>
        </xdr:cNvPr>
        <xdr:cNvGrpSpPr>
          <a:grpSpLocks/>
        </xdr:cNvGrpSpPr>
      </xdr:nvGrpSpPr>
      <xdr:grpSpPr bwMode="auto">
        <a:xfrm>
          <a:off x="4438650" y="232410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9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9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9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3</xdr:col>
      <xdr:colOff>1619250</xdr:colOff>
      <xdr:row>7</xdr:row>
      <xdr:rowOff>19050</xdr:rowOff>
    </xdr:from>
    <xdr:ext cx="133350" cy="247650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900-000027000000}"/>
            </a:ext>
            <a:ext uri="{147F2762-F138-4A5C-976F-8EAC2B608ADB}">
              <a16:predDERef xmlns:a16="http://schemas.microsoft.com/office/drawing/2014/main" pred="{427C83D0-A9CD-47C5-AAC0-A80BDD9E7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115252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619125</xdr:colOff>
      <xdr:row>12</xdr:row>
      <xdr:rowOff>95250</xdr:rowOff>
    </xdr:from>
    <xdr:ext cx="133350" cy="247650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900-000028000000}"/>
            </a:ext>
            <a:ext uri="{147F2762-F138-4A5C-976F-8EAC2B608ADB}">
              <a16:predDERef xmlns:a16="http://schemas.microsoft.com/office/drawing/2014/main" pred="{5B16323C-ECC0-49A4-85B2-BA844468C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09600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12</xdr:row>
      <xdr:rowOff>95250</xdr:rowOff>
    </xdr:from>
    <xdr:ext cx="133350" cy="247650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900-000029000000}"/>
            </a:ext>
            <a:ext uri="{147F2762-F138-4A5C-976F-8EAC2B608ADB}">
              <a16:predDERef xmlns:a16="http://schemas.microsoft.com/office/drawing/2014/main" pred="{3BB74D86-3615-407A-B385-6746F4AC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819150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12</xdr:row>
      <xdr:rowOff>85725</xdr:rowOff>
    </xdr:from>
    <xdr:ext cx="133350" cy="247650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900-00002A000000}"/>
            </a:ext>
            <a:ext uri="{147F2762-F138-4A5C-976F-8EAC2B608ADB}">
              <a16:predDERef xmlns:a16="http://schemas.microsoft.com/office/drawing/2014/main" pred="{1587133F-D8F3-4B70-9D7E-34F6C8B9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038350" y="2028825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419100</xdr:colOff>
      <xdr:row>12</xdr:row>
      <xdr:rowOff>95250</xdr:rowOff>
    </xdr:from>
    <xdr:ext cx="133350" cy="247650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900-00002B000000}"/>
            </a:ext>
            <a:ext uri="{147F2762-F138-4A5C-976F-8EAC2B608ADB}">
              <a16:predDERef xmlns:a16="http://schemas.microsoft.com/office/drawing/2014/main" pred="{C27FBCFE-E862-43CC-9B30-D11F4120B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467100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2733675</xdr:colOff>
      <xdr:row>12</xdr:row>
      <xdr:rowOff>85725</xdr:rowOff>
    </xdr:from>
    <xdr:ext cx="133350" cy="247650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900-00002C000000}"/>
            </a:ext>
            <a:ext uri="{147F2762-F138-4A5C-976F-8EAC2B608ADB}">
              <a16:predDERef xmlns:a16="http://schemas.microsoft.com/office/drawing/2014/main" pred="{D06437FB-3F9E-43E9-A1F0-3E9C0075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657600" y="202882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25</xdr:row>
      <xdr:rowOff>9525</xdr:rowOff>
    </xdr:from>
    <xdr:ext cx="133350" cy="247650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900-00002D000000}"/>
            </a:ext>
            <a:ext uri="{147F2762-F138-4A5C-976F-8EAC2B608ADB}">
              <a16:predDERef xmlns:a16="http://schemas.microsoft.com/office/drawing/2014/main" pred="{B2523F77-DA94-4BBB-9301-8039CAFCE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85775" y="4057650"/>
          <a:ext cx="133350" cy="247650"/>
        </a:xfrm>
        <a:prstGeom prst="rect">
          <a:avLst/>
        </a:prstGeom>
      </xdr:spPr>
    </xdr:pic>
    <xdr:clientData/>
  </xdr:oneCellAnchor>
  <xdr:oneCellAnchor>
    <xdr:from>
      <xdr:col>2</xdr:col>
      <xdr:colOff>1914525</xdr:colOff>
      <xdr:row>25</xdr:row>
      <xdr:rowOff>19050</xdr:rowOff>
    </xdr:from>
    <xdr:ext cx="133350" cy="247650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900-00002E000000}"/>
            </a:ext>
            <a:ext uri="{147F2762-F138-4A5C-976F-8EAC2B608ADB}">
              <a16:predDERef xmlns:a16="http://schemas.microsoft.com/office/drawing/2014/main" pred="{36DB4365-E670-48E1-B5A6-029FDCD0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828800" y="4067175"/>
          <a:ext cx="133350" cy="247650"/>
        </a:xfrm>
        <a:prstGeom prst="rect">
          <a:avLst/>
        </a:prstGeom>
      </xdr:spPr>
    </xdr:pic>
    <xdr:clientData/>
  </xdr:oneCellAnchor>
  <xdr:oneCellAnchor>
    <xdr:from>
      <xdr:col>3</xdr:col>
      <xdr:colOff>1447800</xdr:colOff>
      <xdr:row>25</xdr:row>
      <xdr:rowOff>19050</xdr:rowOff>
    </xdr:from>
    <xdr:ext cx="133350" cy="247650"/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900-00002F000000}"/>
            </a:ext>
            <a:ext uri="{147F2762-F138-4A5C-976F-8EAC2B608ADB}">
              <a16:predDERef xmlns:a16="http://schemas.microsoft.com/office/drawing/2014/main" pred="{BF7FD789-CB61-4077-92D0-65F9E9F9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4067175"/>
          <a:ext cx="133350" cy="2476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</xdr:row>
      <xdr:rowOff>0</xdr:rowOff>
    </xdr:from>
    <xdr:ext cx="133350" cy="247650"/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900-000030000000}"/>
            </a:ext>
            <a:ext uri="{147F2762-F138-4A5C-976F-8EAC2B608ADB}">
              <a16:predDERef xmlns:a16="http://schemas.microsoft.com/office/drawing/2014/main" pred="{D3B95B70-9353-42E7-8C5A-8780EEABD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667000" y="404812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31</xdr:row>
      <xdr:rowOff>76200</xdr:rowOff>
    </xdr:from>
    <xdr:ext cx="133350" cy="247650"/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900-000031000000}"/>
            </a:ext>
            <a:ext uri="{147F2762-F138-4A5C-976F-8EAC2B608ADB}">
              <a16:predDERef xmlns:a16="http://schemas.microsoft.com/office/drawing/2014/main" pred="{24F83469-72A6-400D-AFDE-D66513ADD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76200" y="509587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32</xdr:row>
      <xdr:rowOff>114300</xdr:rowOff>
    </xdr:from>
    <xdr:ext cx="133350" cy="247650"/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900-000032000000}"/>
            </a:ext>
            <a:ext uri="{147F2762-F138-4A5C-976F-8EAC2B608ADB}">
              <a16:predDERef xmlns:a16="http://schemas.microsoft.com/office/drawing/2014/main" pred="{503C2E52-EFE1-4447-A7FA-3B74ADAE3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6675" y="5295900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34</xdr:row>
      <xdr:rowOff>123825</xdr:rowOff>
    </xdr:from>
    <xdr:ext cx="133350" cy="247650"/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900-000033000000}"/>
            </a:ext>
            <a:ext uri="{147F2762-F138-4A5C-976F-8EAC2B608ADB}">
              <a16:predDERef xmlns:a16="http://schemas.microsoft.com/office/drawing/2014/main" pred="{F8CFCBD4-5CF6-40AD-BB36-C57DB8E7F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76200" y="5629275"/>
          <a:ext cx="133350" cy="2476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pSpPr>
          <a:grpSpLocks/>
        </xdr:cNvGrpSpPr>
      </xdr:nvGrpSpPr>
      <xdr:grpSpPr bwMode="auto">
        <a:xfrm>
          <a:off x="13725525" y="237172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>
          <a:grpSpLocks/>
        </xdr:cNvGrpSpPr>
      </xdr:nvGrpSpPr>
      <xdr:grpSpPr bwMode="auto">
        <a:xfrm>
          <a:off x="285750" y="235267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pSpPr>
          <a:grpSpLocks/>
        </xdr:cNvGrpSpPr>
      </xdr:nvGrpSpPr>
      <xdr:grpSpPr bwMode="auto">
        <a:xfrm>
          <a:off x="11382375" y="237172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A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A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pSpPr>
          <a:grpSpLocks/>
        </xdr:cNvGrpSpPr>
      </xdr:nvGrpSpPr>
      <xdr:grpSpPr bwMode="auto">
        <a:xfrm>
          <a:off x="9058275" y="236220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A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A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pSpPr>
          <a:grpSpLocks/>
        </xdr:cNvGrpSpPr>
      </xdr:nvGrpSpPr>
      <xdr:grpSpPr bwMode="auto">
        <a:xfrm>
          <a:off x="6677025" y="237172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A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A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pSpPr>
          <a:grpSpLocks/>
        </xdr:cNvGrpSpPr>
      </xdr:nvGrpSpPr>
      <xdr:grpSpPr bwMode="auto">
        <a:xfrm>
          <a:off x="2200275" y="237172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A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A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GrpSpPr>
          <a:grpSpLocks/>
        </xdr:cNvGrpSpPr>
      </xdr:nvGrpSpPr>
      <xdr:grpSpPr bwMode="auto">
        <a:xfrm>
          <a:off x="4438650" y="238125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A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A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3</xdr:col>
      <xdr:colOff>1600200</xdr:colOff>
      <xdr:row>7</xdr:row>
      <xdr:rowOff>66675</xdr:rowOff>
    </xdr:from>
    <xdr:ext cx="130671" cy="227288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200150"/>
          <a:ext cx="130671" cy="227288"/>
        </a:xfrm>
        <a:prstGeom prst="rect">
          <a:avLst/>
        </a:prstGeom>
      </xdr:spPr>
    </xdr:pic>
    <xdr:clientData/>
  </xdr:oneCellAnchor>
  <xdr:oneCellAnchor>
    <xdr:from>
      <xdr:col>5</xdr:col>
      <xdr:colOff>428625</xdr:colOff>
      <xdr:row>12</xdr:row>
      <xdr:rowOff>104775</xdr:rowOff>
    </xdr:from>
    <xdr:ext cx="130671" cy="227288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5" y="2047875"/>
          <a:ext cx="130671" cy="227288"/>
        </a:xfrm>
        <a:prstGeom prst="rect">
          <a:avLst/>
        </a:prstGeom>
      </xdr:spPr>
    </xdr:pic>
    <xdr:clientData/>
  </xdr:oneCellAnchor>
  <xdr:oneCellAnchor>
    <xdr:from>
      <xdr:col>5</xdr:col>
      <xdr:colOff>2762250</xdr:colOff>
      <xdr:row>12</xdr:row>
      <xdr:rowOff>95250</xdr:rowOff>
    </xdr:from>
    <xdr:ext cx="130671" cy="227288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2038350"/>
          <a:ext cx="130671" cy="227288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25</xdr:row>
      <xdr:rowOff>47625</xdr:rowOff>
    </xdr:from>
    <xdr:ext cx="130671" cy="227288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4095750"/>
          <a:ext cx="130671" cy="227288"/>
        </a:xfrm>
        <a:prstGeom prst="rect">
          <a:avLst/>
        </a:prstGeom>
      </xdr:spPr>
    </xdr:pic>
    <xdr:clientData/>
  </xdr:oneCellAnchor>
  <xdr:oneCellAnchor>
    <xdr:from>
      <xdr:col>1</xdr:col>
      <xdr:colOff>2000250</xdr:colOff>
      <xdr:row>25</xdr:row>
      <xdr:rowOff>28575</xdr:rowOff>
    </xdr:from>
    <xdr:ext cx="130671" cy="227288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076700"/>
          <a:ext cx="130671" cy="227288"/>
        </a:xfrm>
        <a:prstGeom prst="rect">
          <a:avLst/>
        </a:prstGeom>
      </xdr:spPr>
    </xdr:pic>
    <xdr:clientData/>
  </xdr:oneCellAnchor>
  <xdr:oneCellAnchor>
    <xdr:from>
      <xdr:col>2</xdr:col>
      <xdr:colOff>1952625</xdr:colOff>
      <xdr:row>25</xdr:row>
      <xdr:rowOff>66675</xdr:rowOff>
    </xdr:from>
    <xdr:ext cx="130671" cy="227288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114800"/>
          <a:ext cx="130671" cy="227288"/>
        </a:xfrm>
        <a:prstGeom prst="rect">
          <a:avLst/>
        </a:prstGeom>
      </xdr:spPr>
    </xdr:pic>
    <xdr:clientData/>
  </xdr:oneCellAnchor>
  <xdr:oneCellAnchor>
    <xdr:from>
      <xdr:col>3</xdr:col>
      <xdr:colOff>1438275</xdr:colOff>
      <xdr:row>25</xdr:row>
      <xdr:rowOff>28575</xdr:rowOff>
    </xdr:from>
    <xdr:ext cx="130671" cy="227288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4076700"/>
          <a:ext cx="130671" cy="22728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74768610-1591-4745-90E7-515EFDD35D4F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B00-000004000000}"/>
            </a:ext>
            <a:ext uri="{147F2762-F138-4A5C-976F-8EAC2B608ADB}">
              <a16:predDERef xmlns:a16="http://schemas.microsoft.com/office/drawing/2014/main" pred="{3AC4CA8C-642E-4820-AA57-BC20971E9AFD}"/>
            </a:ext>
          </a:extLst>
        </xdr:cNvPr>
        <xdr:cNvGrpSpPr>
          <a:grpSpLocks/>
        </xdr:cNvGrpSpPr>
      </xdr:nvGrpSpPr>
      <xdr:grpSpPr bwMode="auto">
        <a:xfrm>
          <a:off x="13725525" y="237172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B00-000009000000}"/>
            </a:ext>
            <a:ext uri="{147F2762-F138-4A5C-976F-8EAC2B608ADB}">
              <a16:predDERef xmlns:a16="http://schemas.microsoft.com/office/drawing/2014/main" pred="{D0E6A3D1-DA81-44EF-8BBD-30C8FF3E3471}"/>
            </a:ext>
          </a:extLst>
        </xdr:cNvPr>
        <xdr:cNvGrpSpPr>
          <a:grpSpLocks/>
        </xdr:cNvGrpSpPr>
      </xdr:nvGrpSpPr>
      <xdr:grpSpPr bwMode="auto">
        <a:xfrm>
          <a:off x="285750" y="235267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B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B00-00000E000000}"/>
            </a:ext>
            <a:ext uri="{147F2762-F138-4A5C-976F-8EAC2B608ADB}">
              <a16:predDERef xmlns:a16="http://schemas.microsoft.com/office/drawing/2014/main" pred="{0819C1D9-C40C-417C-BBE4-7C9B4BE41F7B}"/>
            </a:ext>
          </a:extLst>
        </xdr:cNvPr>
        <xdr:cNvGrpSpPr>
          <a:grpSpLocks/>
        </xdr:cNvGrpSpPr>
      </xdr:nvGrpSpPr>
      <xdr:grpSpPr bwMode="auto">
        <a:xfrm>
          <a:off x="11382375" y="237172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B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B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B00-000013000000}"/>
            </a:ext>
            <a:ext uri="{147F2762-F138-4A5C-976F-8EAC2B608ADB}">
              <a16:predDERef xmlns:a16="http://schemas.microsoft.com/office/drawing/2014/main" pred="{D59BBCBB-9FF5-46EC-89DB-814ABEE8763D}"/>
            </a:ext>
          </a:extLst>
        </xdr:cNvPr>
        <xdr:cNvGrpSpPr>
          <a:grpSpLocks/>
        </xdr:cNvGrpSpPr>
      </xdr:nvGrpSpPr>
      <xdr:grpSpPr bwMode="auto">
        <a:xfrm>
          <a:off x="9058275" y="236220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B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B00-000018000000}"/>
            </a:ext>
            <a:ext uri="{147F2762-F138-4A5C-976F-8EAC2B608ADB}">
              <a16:predDERef xmlns:a16="http://schemas.microsoft.com/office/drawing/2014/main" pred="{8F907503-8F57-44AC-886E-6E4573F61739}"/>
            </a:ext>
          </a:extLst>
        </xdr:cNvPr>
        <xdr:cNvGrpSpPr>
          <a:grpSpLocks/>
        </xdr:cNvGrpSpPr>
      </xdr:nvGrpSpPr>
      <xdr:grpSpPr bwMode="auto">
        <a:xfrm>
          <a:off x="6677025" y="237172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B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B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B00-00001D000000}"/>
            </a:ext>
            <a:ext uri="{147F2762-F138-4A5C-976F-8EAC2B608ADB}">
              <a16:predDERef xmlns:a16="http://schemas.microsoft.com/office/drawing/2014/main" pred="{737AEF99-9C69-4F13-BAD6-E6446B328119}"/>
            </a:ext>
          </a:extLst>
        </xdr:cNvPr>
        <xdr:cNvGrpSpPr>
          <a:grpSpLocks/>
        </xdr:cNvGrpSpPr>
      </xdr:nvGrpSpPr>
      <xdr:grpSpPr bwMode="auto">
        <a:xfrm>
          <a:off x="2200275" y="237172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B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B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B00-000022000000}"/>
            </a:ext>
            <a:ext uri="{147F2762-F138-4A5C-976F-8EAC2B608ADB}">
              <a16:predDERef xmlns:a16="http://schemas.microsoft.com/office/drawing/2014/main" pred="{761B16D7-544B-434D-AE7C-3D24D210B2AE}"/>
            </a:ext>
          </a:extLst>
        </xdr:cNvPr>
        <xdr:cNvGrpSpPr>
          <a:grpSpLocks/>
        </xdr:cNvGrpSpPr>
      </xdr:nvGrpSpPr>
      <xdr:grpSpPr bwMode="auto">
        <a:xfrm>
          <a:off x="4438650" y="238125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B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B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B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B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5</xdr:col>
      <xdr:colOff>2781737</xdr:colOff>
      <xdr:row>12</xdr:row>
      <xdr:rowOff>96715</xdr:rowOff>
    </xdr:from>
    <xdr:ext cx="130671" cy="231597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8037" y="2039815"/>
          <a:ext cx="130671" cy="231597"/>
        </a:xfrm>
        <a:prstGeom prst="rect">
          <a:avLst/>
        </a:prstGeom>
      </xdr:spPr>
    </xdr:pic>
    <xdr:clientData/>
  </xdr:oneCellAnchor>
  <xdr:oneCellAnchor>
    <xdr:from>
      <xdr:col>4</xdr:col>
      <xdr:colOff>413676</xdr:colOff>
      <xdr:row>12</xdr:row>
      <xdr:rowOff>87923</xdr:rowOff>
    </xdr:from>
    <xdr:ext cx="130671" cy="235908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2076" y="2031023"/>
          <a:ext cx="130671" cy="235908"/>
        </a:xfrm>
        <a:prstGeom prst="rect">
          <a:avLst/>
        </a:prstGeom>
      </xdr:spPr>
    </xdr:pic>
    <xdr:clientData/>
  </xdr:oneCellAnchor>
  <xdr:oneCellAnchor>
    <xdr:from>
      <xdr:col>3</xdr:col>
      <xdr:colOff>214384</xdr:colOff>
      <xdr:row>12</xdr:row>
      <xdr:rowOff>101112</xdr:rowOff>
    </xdr:from>
    <xdr:ext cx="130671" cy="231597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184" y="2044212"/>
          <a:ext cx="130671" cy="231597"/>
        </a:xfrm>
        <a:prstGeom prst="rect">
          <a:avLst/>
        </a:prstGeom>
      </xdr:spPr>
    </xdr:pic>
    <xdr:clientData/>
  </xdr:oneCellAnchor>
  <xdr:oneCellAnchor>
    <xdr:from>
      <xdr:col>3</xdr:col>
      <xdr:colOff>210388</xdr:colOff>
      <xdr:row>12</xdr:row>
      <xdr:rowOff>95117</xdr:rowOff>
    </xdr:from>
    <xdr:ext cx="130671" cy="231597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188" y="2038217"/>
          <a:ext cx="130671" cy="231597"/>
        </a:xfrm>
        <a:prstGeom prst="rect">
          <a:avLst/>
        </a:prstGeom>
      </xdr:spPr>
    </xdr:pic>
    <xdr:clientData/>
  </xdr:oneCellAnchor>
  <xdr:oneCellAnchor>
    <xdr:from>
      <xdr:col>1</xdr:col>
      <xdr:colOff>198265</xdr:colOff>
      <xdr:row>12</xdr:row>
      <xdr:rowOff>91653</xdr:rowOff>
    </xdr:from>
    <xdr:ext cx="130671" cy="231597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865" y="2034753"/>
          <a:ext cx="130671" cy="231597"/>
        </a:xfrm>
        <a:prstGeom prst="rect">
          <a:avLst/>
        </a:prstGeom>
      </xdr:spPr>
    </xdr:pic>
    <xdr:clientData/>
  </xdr:oneCellAnchor>
  <xdr:oneCellAnchor>
    <xdr:from>
      <xdr:col>1</xdr:col>
      <xdr:colOff>1951964</xdr:colOff>
      <xdr:row>25</xdr:row>
      <xdr:rowOff>19997</xdr:rowOff>
    </xdr:from>
    <xdr:ext cx="124981" cy="239719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B00-00002C000000}"/>
            </a:ext>
            <a:ext uri="{147F2762-F138-4A5C-976F-8EAC2B608ADB}">
              <a16:predDERef xmlns:a16="http://schemas.microsoft.com/office/drawing/2014/main" pred="{0D86507F-24DF-4B66-9C52-B7AB7697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539" y="4068122"/>
          <a:ext cx="124981" cy="239719"/>
        </a:xfrm>
        <a:prstGeom prst="rect">
          <a:avLst/>
        </a:prstGeom>
      </xdr:spPr>
    </xdr:pic>
    <xdr:clientData/>
  </xdr:oneCellAnchor>
  <xdr:oneCellAnchor>
    <xdr:from>
      <xdr:col>2</xdr:col>
      <xdr:colOff>1926663</xdr:colOff>
      <xdr:row>25</xdr:row>
      <xdr:rowOff>17173</xdr:rowOff>
    </xdr:from>
    <xdr:ext cx="124981" cy="234116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B00-00002D000000}"/>
            </a:ext>
            <a:ext uri="{147F2762-F138-4A5C-976F-8EAC2B608ADB}">
              <a16:predDERef xmlns:a16="http://schemas.microsoft.com/office/drawing/2014/main" pred="{D5CD6696-5F4E-431B-A8D8-7BB7C5FD6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413" y="4065298"/>
          <a:ext cx="124981" cy="234116"/>
        </a:xfrm>
        <a:prstGeom prst="rect">
          <a:avLst/>
        </a:prstGeom>
      </xdr:spPr>
    </xdr:pic>
    <xdr:clientData/>
  </xdr:oneCellAnchor>
  <xdr:oneCellAnchor>
    <xdr:from>
      <xdr:col>4</xdr:col>
      <xdr:colOff>234941</xdr:colOff>
      <xdr:row>25</xdr:row>
      <xdr:rowOff>30899</xdr:rowOff>
    </xdr:from>
    <xdr:ext cx="126637" cy="234116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B00-00002E000000}"/>
            </a:ext>
            <a:ext uri="{147F2762-F138-4A5C-976F-8EAC2B608ADB}">
              <a16:predDERef xmlns:a16="http://schemas.microsoft.com/office/drawing/2014/main" pred="{AB9A54A9-DC1D-43A0-AD3D-23F432D8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3341" y="4079024"/>
          <a:ext cx="126637" cy="234116"/>
        </a:xfrm>
        <a:prstGeom prst="rect">
          <a:avLst/>
        </a:prstGeom>
      </xdr:spPr>
    </xdr:pic>
    <xdr:clientData/>
  </xdr:oneCellAnchor>
  <xdr:oneCellAnchor>
    <xdr:from>
      <xdr:col>3</xdr:col>
      <xdr:colOff>1444497</xdr:colOff>
      <xdr:row>25</xdr:row>
      <xdr:rowOff>21255</xdr:rowOff>
    </xdr:from>
    <xdr:ext cx="124981" cy="238257"/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B00-00002F000000}"/>
            </a:ext>
            <a:ext uri="{147F2762-F138-4A5C-976F-8EAC2B608ADB}">
              <a16:predDERef xmlns:a16="http://schemas.microsoft.com/office/drawing/2014/main" pred="{E87E30B7-D556-4131-BB6A-6F1DD17D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097" y="4069380"/>
          <a:ext cx="124981" cy="238257"/>
        </a:xfrm>
        <a:prstGeom prst="rect">
          <a:avLst/>
        </a:prstGeom>
      </xdr:spPr>
    </xdr:pic>
    <xdr:clientData/>
  </xdr:oneCellAnchor>
  <xdr:oneCellAnchor>
    <xdr:from>
      <xdr:col>3</xdr:col>
      <xdr:colOff>1595465</xdr:colOff>
      <xdr:row>7</xdr:row>
      <xdr:rowOff>58184</xdr:rowOff>
    </xdr:from>
    <xdr:ext cx="130671" cy="227288"/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665" y="1191659"/>
          <a:ext cx="130671" cy="227288"/>
        </a:xfrm>
        <a:prstGeom prst="rect">
          <a:avLst/>
        </a:prstGeom>
      </xdr:spPr>
    </xdr:pic>
    <xdr:clientData/>
  </xdr:oneCellAnchor>
  <xdr:oneCellAnchor>
    <xdr:from>
      <xdr:col>0</xdr:col>
      <xdr:colOff>533860</xdr:colOff>
      <xdr:row>26</xdr:row>
      <xdr:rowOff>18876</xdr:rowOff>
    </xdr:from>
    <xdr:ext cx="124981" cy="235410"/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B00-000031000000}"/>
            </a:ext>
            <a:ext uri="{147F2762-F138-4A5C-976F-8EAC2B608ADB}">
              <a16:predDERef xmlns:a16="http://schemas.microsoft.com/office/drawing/2014/main" pred="{EF75DB00-F372-4882-84FD-2F962E98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60" y="4228926"/>
          <a:ext cx="124981" cy="23541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  <a:ext uri="{147F2762-F138-4A5C-976F-8EAC2B608ADB}">
              <a16:predDERef xmlns:a16="http://schemas.microsoft.com/office/drawing/2014/main" pred="{17807019-4A9A-4A20-B7D3-1A806D8FDAD7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C00-000004000000}"/>
            </a:ext>
            <a:ext uri="{147F2762-F138-4A5C-976F-8EAC2B608ADB}">
              <a16:predDERef xmlns:a16="http://schemas.microsoft.com/office/drawing/2014/main" pred="{8AB2E01F-FEA2-4C9D-8363-AC4AE753575F}"/>
            </a:ext>
          </a:extLst>
        </xdr:cNvPr>
        <xdr:cNvGrpSpPr>
          <a:grpSpLocks/>
        </xdr:cNvGrpSpPr>
      </xdr:nvGrpSpPr>
      <xdr:grpSpPr bwMode="auto">
        <a:xfrm>
          <a:off x="13725525" y="2305050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C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C00-000009000000}"/>
            </a:ext>
            <a:ext uri="{147F2762-F138-4A5C-976F-8EAC2B608ADB}">
              <a16:predDERef xmlns:a16="http://schemas.microsoft.com/office/drawing/2014/main" pred="{A86FCED5-7FC7-446A-80A7-61E636B67F32}"/>
            </a:ext>
          </a:extLst>
        </xdr:cNvPr>
        <xdr:cNvGrpSpPr>
          <a:grpSpLocks/>
        </xdr:cNvGrpSpPr>
      </xdr:nvGrpSpPr>
      <xdr:grpSpPr bwMode="auto">
        <a:xfrm>
          <a:off x="285750" y="2286000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C00-00000E000000}"/>
            </a:ext>
            <a:ext uri="{147F2762-F138-4A5C-976F-8EAC2B608ADB}">
              <a16:predDERef xmlns:a16="http://schemas.microsoft.com/office/drawing/2014/main" pred="{7886B391-3206-41E1-B5E0-6BE2C94463CF}"/>
            </a:ext>
          </a:extLst>
        </xdr:cNvPr>
        <xdr:cNvGrpSpPr>
          <a:grpSpLocks/>
        </xdr:cNvGrpSpPr>
      </xdr:nvGrpSpPr>
      <xdr:grpSpPr bwMode="auto">
        <a:xfrm>
          <a:off x="11382375" y="2305050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C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C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C00-000013000000}"/>
            </a:ext>
            <a:ext uri="{147F2762-F138-4A5C-976F-8EAC2B608ADB}">
              <a16:predDERef xmlns:a16="http://schemas.microsoft.com/office/drawing/2014/main" pred="{AF55E428-23C8-424A-8A65-90914E022E76}"/>
            </a:ext>
          </a:extLst>
        </xdr:cNvPr>
        <xdr:cNvGrpSpPr>
          <a:grpSpLocks/>
        </xdr:cNvGrpSpPr>
      </xdr:nvGrpSpPr>
      <xdr:grpSpPr bwMode="auto">
        <a:xfrm>
          <a:off x="9058275" y="2295525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C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C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C00-000018000000}"/>
            </a:ext>
            <a:ext uri="{147F2762-F138-4A5C-976F-8EAC2B608ADB}">
              <a16:predDERef xmlns:a16="http://schemas.microsoft.com/office/drawing/2014/main" pred="{81FC13DC-ED0C-4D0F-9F95-A898B61A0001}"/>
            </a:ext>
          </a:extLst>
        </xdr:cNvPr>
        <xdr:cNvGrpSpPr>
          <a:grpSpLocks/>
        </xdr:cNvGrpSpPr>
      </xdr:nvGrpSpPr>
      <xdr:grpSpPr bwMode="auto">
        <a:xfrm>
          <a:off x="6677025" y="2305050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C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C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C00-00001D000000}"/>
            </a:ext>
            <a:ext uri="{147F2762-F138-4A5C-976F-8EAC2B608ADB}">
              <a16:predDERef xmlns:a16="http://schemas.microsoft.com/office/drawing/2014/main" pred="{0824D17E-2329-475C-AFF4-DFF2194F6073}"/>
            </a:ext>
          </a:extLst>
        </xdr:cNvPr>
        <xdr:cNvGrpSpPr>
          <a:grpSpLocks/>
        </xdr:cNvGrpSpPr>
      </xdr:nvGrpSpPr>
      <xdr:grpSpPr bwMode="auto">
        <a:xfrm>
          <a:off x="2200275" y="2305050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C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C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C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C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C00-000022000000}"/>
            </a:ext>
            <a:ext uri="{147F2762-F138-4A5C-976F-8EAC2B608ADB}">
              <a16:predDERef xmlns:a16="http://schemas.microsoft.com/office/drawing/2014/main" pred="{783C215B-4CCC-4B3E-8AF6-28AA3E20B5E7}"/>
            </a:ext>
          </a:extLst>
        </xdr:cNvPr>
        <xdr:cNvGrpSpPr>
          <a:grpSpLocks/>
        </xdr:cNvGrpSpPr>
      </xdr:nvGrpSpPr>
      <xdr:grpSpPr bwMode="auto">
        <a:xfrm>
          <a:off x="4438650" y="2314575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C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C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C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C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1</xdr:col>
      <xdr:colOff>0</xdr:colOff>
      <xdr:row>0</xdr:row>
      <xdr:rowOff>0</xdr:rowOff>
    </xdr:from>
    <xdr:ext cx="133350" cy="246917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C00-000027000000}"/>
            </a:ext>
            <a:ext uri="{147F2762-F138-4A5C-976F-8EAC2B608ADB}">
              <a16:predDERef xmlns:a16="http://schemas.microsoft.com/office/drawing/2014/main" pred="{FD00BF15-F412-4B10-A4C3-88CBD7992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09600" y="0"/>
          <a:ext cx="133350" cy="246917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12</xdr:row>
      <xdr:rowOff>47625</xdr:rowOff>
    </xdr:from>
    <xdr:ext cx="133350" cy="246917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C00-000028000000}"/>
            </a:ext>
            <a:ext uri="{147F2762-F138-4A5C-976F-8EAC2B608ADB}">
              <a16:predDERef xmlns:a16="http://schemas.microsoft.com/office/drawing/2014/main" pred="{3EC9EC8E-EF15-4A5C-8B2D-C7728E75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609600" y="1990725"/>
          <a:ext cx="133350" cy="246917"/>
        </a:xfrm>
        <a:prstGeom prst="rect">
          <a:avLst/>
        </a:prstGeom>
      </xdr:spPr>
    </xdr:pic>
    <xdr:clientData/>
  </xdr:oneCellAnchor>
  <xdr:oneCellAnchor>
    <xdr:from>
      <xdr:col>3</xdr:col>
      <xdr:colOff>1409700</xdr:colOff>
      <xdr:row>25</xdr:row>
      <xdr:rowOff>0</xdr:rowOff>
    </xdr:from>
    <xdr:ext cx="133350" cy="247650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C00-000029000000}"/>
            </a:ext>
            <a:ext uri="{147F2762-F138-4A5C-976F-8EAC2B608ADB}">
              <a16:predDERef xmlns:a16="http://schemas.microsoft.com/office/drawing/2014/main" pred="{6549D6D9-FF8C-4F5F-8431-35BF63E51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4048125"/>
          <a:ext cx="133350" cy="247650"/>
        </a:xfrm>
        <a:prstGeom prst="rect">
          <a:avLst/>
        </a:prstGeom>
      </xdr:spPr>
    </xdr:pic>
    <xdr:clientData/>
  </xdr:oneCellAnchor>
  <xdr:oneCellAnchor>
    <xdr:from>
      <xdr:col>2</xdr:col>
      <xdr:colOff>1905000</xdr:colOff>
      <xdr:row>25</xdr:row>
      <xdr:rowOff>0</xdr:rowOff>
    </xdr:from>
    <xdr:ext cx="133350" cy="247650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C00-00002A000000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828800" y="4048125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25</xdr:row>
      <xdr:rowOff>0</xdr:rowOff>
    </xdr:from>
    <xdr:ext cx="133350" cy="247650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C00-00002B000000}"/>
            </a:ext>
            <a:ext uri="{147F2762-F138-4A5C-976F-8EAC2B608ADB}">
              <a16:predDERef xmlns:a16="http://schemas.microsoft.com/office/drawing/2014/main" pred="{400A08FD-15B2-4224-877B-135DF52BF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485775" y="4048125"/>
          <a:ext cx="133350" cy="247650"/>
        </a:xfrm>
        <a:prstGeom prst="rect">
          <a:avLst/>
        </a:prstGeom>
      </xdr:spPr>
    </xdr:pic>
    <xdr:clientData/>
  </xdr:oneCellAnchor>
  <xdr:oneCellAnchor>
    <xdr:from>
      <xdr:col>3</xdr:col>
      <xdr:colOff>1600200</xdr:colOff>
      <xdr:row>7</xdr:row>
      <xdr:rowOff>28575</xdr:rowOff>
    </xdr:from>
    <xdr:ext cx="133350" cy="247650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C00-00002C000000}"/>
            </a:ext>
            <a:ext uri="{147F2762-F138-4A5C-976F-8EAC2B608ADB}">
              <a16:predDERef xmlns:a16="http://schemas.microsoft.com/office/drawing/2014/main" pred="{62D1B0E7-CDED-4C1B-A56D-D8D028E5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1162050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2762250</xdr:colOff>
      <xdr:row>12</xdr:row>
      <xdr:rowOff>76200</xdr:rowOff>
    </xdr:from>
    <xdr:ext cx="133350" cy="246184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C00-00002D000000}"/>
            </a:ext>
            <a:ext uri="{147F2762-F138-4A5C-976F-8EAC2B608ADB}">
              <a16:predDERef xmlns:a16="http://schemas.microsoft.com/office/drawing/2014/main" pred="{739F1CEB-CD05-4791-A333-63E177B1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657600" y="2019300"/>
          <a:ext cx="133350" cy="246184"/>
        </a:xfrm>
        <a:prstGeom prst="rect">
          <a:avLst/>
        </a:prstGeom>
      </xdr:spPr>
    </xdr:pic>
    <xdr:clientData/>
  </xdr:oneCellAnchor>
  <xdr:oneCellAnchor>
    <xdr:from>
      <xdr:col>5</xdr:col>
      <xdr:colOff>409575</xdr:colOff>
      <xdr:row>12</xdr:row>
      <xdr:rowOff>114300</xdr:rowOff>
    </xdr:from>
    <xdr:ext cx="133350" cy="246184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C00-00002E000000}"/>
            </a:ext>
            <a:ext uri="{147F2762-F138-4A5C-976F-8EAC2B608ADB}">
              <a16:predDERef xmlns:a16="http://schemas.microsoft.com/office/drawing/2014/main" pred="{7D40BB39-8D02-4F1F-8DFB-F5E459EA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457575" y="2057400"/>
          <a:ext cx="133350" cy="246184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34</xdr:row>
      <xdr:rowOff>114300</xdr:rowOff>
    </xdr:from>
    <xdr:ext cx="133350" cy="246185"/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C00-00002F000000}"/>
            </a:ext>
            <a:ext uri="{147F2762-F138-4A5C-976F-8EAC2B608ADB}">
              <a16:predDERef xmlns:a16="http://schemas.microsoft.com/office/drawing/2014/main" pred="{4759F4B4-133E-4693-97CF-0158D3839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57150" y="5619750"/>
          <a:ext cx="133350" cy="24618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32</xdr:row>
      <xdr:rowOff>123825</xdr:rowOff>
    </xdr:from>
    <xdr:ext cx="133350" cy="246184"/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C00-000030000000}"/>
            </a:ext>
            <a:ext uri="{147F2762-F138-4A5C-976F-8EAC2B608ADB}">
              <a16:predDERef xmlns:a16="http://schemas.microsoft.com/office/drawing/2014/main" pred="{F72A752E-1D78-485F-8F71-D004CCC9C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76200" y="5305425"/>
          <a:ext cx="133350" cy="246184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31</xdr:row>
      <xdr:rowOff>95250</xdr:rowOff>
    </xdr:from>
    <xdr:ext cx="133350" cy="246185"/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C00-000031000000}"/>
            </a:ext>
            <a:ext uri="{147F2762-F138-4A5C-976F-8EAC2B608ADB}">
              <a16:predDERef xmlns:a16="http://schemas.microsoft.com/office/drawing/2014/main" pred="{F314F5C2-0750-4C7E-B374-2675E993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95250" y="5114925"/>
          <a:ext cx="133350" cy="24618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52</xdr:row>
      <xdr:rowOff>0</xdr:rowOff>
    </xdr:from>
    <xdr:to>
      <xdr:col>5</xdr:col>
      <xdr:colOff>990600</xdr:colOff>
      <xdr:row>52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ShapeType="1"/>
        </xdr:cNvSpPr>
      </xdr:nvSpPr>
      <xdr:spPr bwMode="auto">
        <a:xfrm>
          <a:off x="3657600" y="8420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904875</xdr:colOff>
      <xdr:row>2</xdr:row>
      <xdr:rowOff>0</xdr:rowOff>
    </xdr:from>
    <xdr:to>
      <xdr:col>5</xdr:col>
      <xdr:colOff>904875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D00-000003000000}"/>
            </a:ext>
            <a:ext uri="{147F2762-F138-4A5C-976F-8EAC2B608ADB}">
              <a16:predDERef xmlns:a16="http://schemas.microsoft.com/office/drawing/2014/main" pred="{5F93E48F-E652-4AE8-9C3F-6393E8FAE5DA}"/>
            </a:ext>
          </a:extLst>
        </xdr:cNvPr>
        <xdr:cNvSpPr>
          <a:spLocks noChangeShapeType="1"/>
        </xdr:cNvSpPr>
      </xdr:nvSpPr>
      <xdr:spPr bwMode="auto">
        <a:xfrm>
          <a:off x="3657600" y="3238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2447925</xdr:colOff>
      <xdr:row>12</xdr:row>
      <xdr:rowOff>104775</xdr:rowOff>
    </xdr:from>
    <xdr:to>
      <xdr:col>5</xdr:col>
      <xdr:colOff>3257550</xdr:colOff>
      <xdr:row>20</xdr:row>
      <xdr:rowOff>114300</xdr:rowOff>
    </xdr:to>
    <xdr:grpSp>
      <xdr:nvGrpSpPr>
        <xdr:cNvPr id="4" name="Grupo 4">
          <a:extLst>
            <a:ext uri="{FF2B5EF4-FFF2-40B4-BE49-F238E27FC236}">
              <a16:creationId xmlns:a16="http://schemas.microsoft.com/office/drawing/2014/main" id="{00000000-0008-0000-0D00-000004000000}"/>
            </a:ext>
            <a:ext uri="{147F2762-F138-4A5C-976F-8EAC2B608ADB}">
              <a16:predDERef xmlns:a16="http://schemas.microsoft.com/office/drawing/2014/main" pred="{08CF44E4-A14D-4C51-9B16-25BAFDB2E61C}"/>
            </a:ext>
          </a:extLst>
        </xdr:cNvPr>
        <xdr:cNvGrpSpPr>
          <a:grpSpLocks/>
        </xdr:cNvGrpSpPr>
      </xdr:nvGrpSpPr>
      <xdr:grpSpPr bwMode="auto">
        <a:xfrm>
          <a:off x="13725525" y="2314575"/>
          <a:ext cx="809625" cy="1304925"/>
          <a:chOff x="4211413" y="2381251"/>
          <a:chExt cx="809624" cy="1313089"/>
        </a:xfrm>
      </xdr:grpSpPr>
      <xdr:grpSp>
        <xdr:nvGrpSpPr>
          <xdr:cNvPr id="5" name="Group 17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GrpSpPr>
            <a:grpSpLocks/>
          </xdr:cNvGrpSpPr>
        </xdr:nvGrpSpPr>
        <xdr:grpSpPr bwMode="auto">
          <a:xfrm>
            <a:off x="4245429" y="2381251"/>
            <a:ext cx="723900" cy="1007779"/>
            <a:chOff x="322" y="235"/>
            <a:chExt cx="76" cy="105"/>
          </a:xfrm>
        </xdr:grpSpPr>
        <xdr:pic>
          <xdr:nvPicPr>
            <xdr:cNvPr id="7" name="Picture 18" descr="Eletricidade">
              <a:extLst>
                <a:ext uri="{FF2B5EF4-FFF2-40B4-BE49-F238E27FC236}">
                  <a16:creationId xmlns:a16="http://schemas.microsoft.com/office/drawing/2014/main" id="{00000000-0008-0000-0D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-954" b="8540"/>
            <a:stretch>
              <a:fillRect/>
            </a:stretch>
          </xdr:blipFill>
          <xdr:spPr bwMode="auto">
            <a:xfrm>
              <a:off x="322" y="264"/>
              <a:ext cx="76" cy="7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8" name="Text Box 19">
              <a:extLst>
                <a:ext uri="{FF2B5EF4-FFF2-40B4-BE49-F238E27FC236}">
                  <a16:creationId xmlns:a16="http://schemas.microsoft.com/office/drawing/2014/main" id="{00000000-0008-0000-0D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31" y="235"/>
              <a:ext cx="55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11413" y="3387633"/>
            <a:ext cx="809624" cy="30670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Choque </a:t>
            </a:r>
            <a:b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Elétrico</a:t>
            </a:r>
          </a:p>
        </xdr:txBody>
      </xdr:sp>
    </xdr:grpSp>
    <xdr:clientData/>
  </xdr:twoCellAnchor>
  <xdr:twoCellAnchor>
    <xdr:from>
      <xdr:col>0</xdr:col>
      <xdr:colOff>285750</xdr:colOff>
      <xdr:row>12</xdr:row>
      <xdr:rowOff>85725</xdr:rowOff>
    </xdr:from>
    <xdr:to>
      <xdr:col>0</xdr:col>
      <xdr:colOff>1123950</xdr:colOff>
      <xdr:row>20</xdr:row>
      <xdr:rowOff>123825</xdr:rowOff>
    </xdr:to>
    <xdr:grpSp>
      <xdr:nvGrpSpPr>
        <xdr:cNvPr id="9" name="Grupo 1">
          <a:extLst>
            <a:ext uri="{FF2B5EF4-FFF2-40B4-BE49-F238E27FC236}">
              <a16:creationId xmlns:a16="http://schemas.microsoft.com/office/drawing/2014/main" id="{00000000-0008-0000-0D00-000009000000}"/>
            </a:ext>
            <a:ext uri="{147F2762-F138-4A5C-976F-8EAC2B608ADB}">
              <a16:predDERef xmlns:a16="http://schemas.microsoft.com/office/drawing/2014/main" pred="{FFF41773-92DD-4DB7-883B-02B1B89DBFA4}"/>
            </a:ext>
          </a:extLst>
        </xdr:cNvPr>
        <xdr:cNvGrpSpPr>
          <a:grpSpLocks/>
        </xdr:cNvGrpSpPr>
      </xdr:nvGrpSpPr>
      <xdr:grpSpPr bwMode="auto">
        <a:xfrm>
          <a:off x="285750" y="2295525"/>
          <a:ext cx="838200" cy="1333500"/>
          <a:chOff x="293172" y="2370367"/>
          <a:chExt cx="839932" cy="1344383"/>
        </a:xfrm>
      </xdr:grpSpPr>
      <xdr:grpSp>
        <xdr:nvGrpSpPr>
          <xdr:cNvPr id="10" name="Group 11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GrpSpPr>
            <a:grpSpLocks/>
          </xdr:cNvGrpSpPr>
        </xdr:nvGrpSpPr>
        <xdr:grpSpPr bwMode="auto">
          <a:xfrm>
            <a:off x="293172" y="2370367"/>
            <a:ext cx="839932" cy="1061359"/>
            <a:chOff x="30" y="234"/>
            <a:chExt cx="70" cy="92"/>
          </a:xfrm>
        </xdr:grpSpPr>
        <xdr:pic>
          <xdr:nvPicPr>
            <xdr:cNvPr id="12" name="Picture 12" descr="Comportamento de risco">
              <a:extLst>
                <a:ext uri="{FF2B5EF4-FFF2-40B4-BE49-F238E27FC236}">
                  <a16:creationId xmlns:a16="http://schemas.microsoft.com/office/drawing/2014/main" id="{00000000-0008-0000-0D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2" r="-1031" b="13718"/>
            <a:stretch>
              <a:fillRect/>
            </a:stretch>
          </xdr:blipFill>
          <xdr:spPr bwMode="auto">
            <a:xfrm>
              <a:off x="30" y="258"/>
              <a:ext cx="70" cy="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3" name="Text Box 13">
              <a:extLst>
                <a:ext uri="{FF2B5EF4-FFF2-40B4-BE49-F238E27FC236}">
                  <a16:creationId xmlns:a16="http://schemas.microsoft.com/office/drawing/2014/main" id="{00000000-0008-0000-0D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" y="234"/>
              <a:ext cx="53" cy="2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</xdr:grpSp>
      <xdr:sp macro="" textlink="">
        <xdr:nvSpPr>
          <xdr:cNvPr id="11" name="Text Box 13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1806" y="3436271"/>
            <a:ext cx="782664" cy="27847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Comportamento de Risco</a:t>
            </a:r>
          </a:p>
        </xdr:txBody>
      </xdr:sp>
    </xdr:grpSp>
    <xdr:clientData/>
  </xdr:twoCellAnchor>
  <xdr:twoCellAnchor>
    <xdr:from>
      <xdr:col>5</xdr:col>
      <xdr:colOff>104775</xdr:colOff>
      <xdr:row>12</xdr:row>
      <xdr:rowOff>104775</xdr:rowOff>
    </xdr:from>
    <xdr:to>
      <xdr:col>5</xdr:col>
      <xdr:colOff>914400</xdr:colOff>
      <xdr:row>20</xdr:row>
      <xdr:rowOff>85725</xdr:rowOff>
    </xdr:to>
    <xdr:grpSp>
      <xdr:nvGrpSpPr>
        <xdr:cNvPr id="14" name="Grupo 4">
          <a:extLst>
            <a:ext uri="{FF2B5EF4-FFF2-40B4-BE49-F238E27FC236}">
              <a16:creationId xmlns:a16="http://schemas.microsoft.com/office/drawing/2014/main" id="{00000000-0008-0000-0D00-00000E000000}"/>
            </a:ext>
            <a:ext uri="{147F2762-F138-4A5C-976F-8EAC2B608ADB}">
              <a16:predDERef xmlns:a16="http://schemas.microsoft.com/office/drawing/2014/main" pred="{88816700-857B-4DB9-8E1F-E37EFF6C5F90}"/>
            </a:ext>
          </a:extLst>
        </xdr:cNvPr>
        <xdr:cNvGrpSpPr>
          <a:grpSpLocks/>
        </xdr:cNvGrpSpPr>
      </xdr:nvGrpSpPr>
      <xdr:grpSpPr bwMode="auto">
        <a:xfrm>
          <a:off x="11382375" y="2314575"/>
          <a:ext cx="809625" cy="1276350"/>
          <a:chOff x="2197554" y="2348713"/>
          <a:chExt cx="810985" cy="1291197"/>
        </a:xfrm>
      </xdr:grpSpPr>
      <xdr:grpSp>
        <xdr:nvGrpSpPr>
          <xdr:cNvPr id="15" name="Grupo 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GrpSpPr>
            <a:grpSpLocks/>
          </xdr:cNvGrpSpPr>
        </xdr:nvGrpSpPr>
        <xdr:grpSpPr bwMode="auto">
          <a:xfrm>
            <a:off x="2197554" y="2348713"/>
            <a:ext cx="810985" cy="1291197"/>
            <a:chOff x="4211413" y="2348782"/>
            <a:chExt cx="809624" cy="1288526"/>
          </a:xfrm>
        </xdr:grpSpPr>
        <xdr:sp macro="" textlink="">
          <xdr:nvSpPr>
            <xdr:cNvPr id="17" name="Text Box 19">
              <a:extLst>
                <a:ext uri="{FF2B5EF4-FFF2-40B4-BE49-F238E27FC236}">
                  <a16:creationId xmlns:a16="http://schemas.microsoft.com/office/drawing/2014/main" id="{00000000-0008-0000-0D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35238" y="2348782"/>
              <a:ext cx="523874" cy="20193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18" name="Text Box 19">
              <a:extLst>
                <a:ext uri="{FF2B5EF4-FFF2-40B4-BE49-F238E27FC236}">
                  <a16:creationId xmlns:a16="http://schemas.microsoft.com/office/drawing/2014/main" id="{00000000-0008-0000-0D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1413" y="3387295"/>
              <a:ext cx="809624" cy="250013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Corte</a:t>
              </a:r>
            </a:p>
          </xdr:txBody>
        </xdr:sp>
      </xdr:grpSp>
      <xdr:pic>
        <xdr:nvPicPr>
          <xdr:cNvPr id="16" name="Imagem 3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17965" y="2639785"/>
            <a:ext cx="755196" cy="7551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66675</xdr:colOff>
      <xdr:row>12</xdr:row>
      <xdr:rowOff>95250</xdr:rowOff>
    </xdr:from>
    <xdr:to>
      <xdr:col>4</xdr:col>
      <xdr:colOff>885825</xdr:colOff>
      <xdr:row>21</xdr:row>
      <xdr:rowOff>38100</xdr:rowOff>
    </xdr:to>
    <xdr:grpSp>
      <xdr:nvGrpSpPr>
        <xdr:cNvPr id="19" name="Grupo 6">
          <a:extLst>
            <a:ext uri="{FF2B5EF4-FFF2-40B4-BE49-F238E27FC236}">
              <a16:creationId xmlns:a16="http://schemas.microsoft.com/office/drawing/2014/main" id="{00000000-0008-0000-0D00-000013000000}"/>
            </a:ext>
            <a:ext uri="{147F2762-F138-4A5C-976F-8EAC2B608ADB}">
              <a16:predDERef xmlns:a16="http://schemas.microsoft.com/office/drawing/2014/main" pred="{F521BACC-46FE-4657-8841-3CDC186342EC}"/>
            </a:ext>
          </a:extLst>
        </xdr:cNvPr>
        <xdr:cNvGrpSpPr>
          <a:grpSpLocks/>
        </xdr:cNvGrpSpPr>
      </xdr:nvGrpSpPr>
      <xdr:grpSpPr bwMode="auto">
        <a:xfrm>
          <a:off x="9058275" y="2305050"/>
          <a:ext cx="819150" cy="1400175"/>
          <a:chOff x="2191898" y="2349936"/>
          <a:chExt cx="810985" cy="1349637"/>
        </a:xfrm>
      </xdr:grpSpPr>
      <xdr:grpSp>
        <xdr:nvGrpSpPr>
          <xdr:cNvPr id="20" name="Grupo 4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GrpSpPr>
            <a:grpSpLocks/>
          </xdr:cNvGrpSpPr>
        </xdr:nvGrpSpPr>
        <xdr:grpSpPr bwMode="auto">
          <a:xfrm>
            <a:off x="2191898" y="2349936"/>
            <a:ext cx="810985" cy="1349637"/>
            <a:chOff x="4205767" y="2350003"/>
            <a:chExt cx="809624" cy="1346844"/>
          </a:xfrm>
        </xdr:grpSpPr>
        <xdr:sp macro="" textlink="">
          <xdr:nvSpPr>
            <xdr:cNvPr id="22" name="Text Box 19">
              <a:extLst>
                <a:ext uri="{FF2B5EF4-FFF2-40B4-BE49-F238E27FC236}">
                  <a16:creationId xmlns:a16="http://schemas.microsoft.com/office/drawing/2014/main" id="{00000000-0008-0000-0D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46980" y="2350003"/>
              <a:ext cx="527197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3" name="Text Box 19">
              <a:extLst>
                <a:ext uri="{FF2B5EF4-FFF2-40B4-BE49-F238E27FC236}">
                  <a16:creationId xmlns:a16="http://schemas.microsoft.com/office/drawing/2014/main" id="{00000000-0008-0000-0D00-00001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2819"/>
              <a:ext cx="809624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 de Esmagamento</a:t>
              </a:r>
            </a:p>
          </xdr:txBody>
        </xdr:sp>
      </xdr:grpSp>
      <xdr:pic>
        <xdr:nvPicPr>
          <xdr:cNvPr id="21" name="Imagem 5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5048" b="1414"/>
          <a:stretch>
            <a:fillRect/>
          </a:stretch>
        </xdr:blipFill>
        <xdr:spPr bwMode="auto">
          <a:xfrm>
            <a:off x="2231573" y="2670468"/>
            <a:ext cx="714373" cy="7117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2247900</xdr:colOff>
      <xdr:row>12</xdr:row>
      <xdr:rowOff>104775</xdr:rowOff>
    </xdr:from>
    <xdr:to>
      <xdr:col>3</xdr:col>
      <xdr:colOff>704850</xdr:colOff>
      <xdr:row>21</xdr:row>
      <xdr:rowOff>38100</xdr:rowOff>
    </xdr:to>
    <xdr:grpSp>
      <xdr:nvGrpSpPr>
        <xdr:cNvPr id="24" name="Grupo 4">
          <a:extLst>
            <a:ext uri="{FF2B5EF4-FFF2-40B4-BE49-F238E27FC236}">
              <a16:creationId xmlns:a16="http://schemas.microsoft.com/office/drawing/2014/main" id="{00000000-0008-0000-0D00-000018000000}"/>
            </a:ext>
            <a:ext uri="{147F2762-F138-4A5C-976F-8EAC2B608ADB}">
              <a16:predDERef xmlns:a16="http://schemas.microsoft.com/office/drawing/2014/main" pred="{BF7EC5AF-6B83-4FD8-A6B7-FDA4BB861760}"/>
            </a:ext>
          </a:extLst>
        </xdr:cNvPr>
        <xdr:cNvGrpSpPr>
          <a:grpSpLocks/>
        </xdr:cNvGrpSpPr>
      </xdr:nvGrpSpPr>
      <xdr:grpSpPr bwMode="auto">
        <a:xfrm>
          <a:off x="6677025" y="2314575"/>
          <a:ext cx="809625" cy="1390650"/>
          <a:chOff x="3808413" y="2254249"/>
          <a:chExt cx="809625" cy="1365250"/>
        </a:xfrm>
      </xdr:grpSpPr>
      <xdr:grpSp>
        <xdr:nvGrpSpPr>
          <xdr:cNvPr id="25" name="Grupo 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GrpSpPr>
            <a:grpSpLocks/>
          </xdr:cNvGrpSpPr>
        </xdr:nvGrpSpPr>
        <xdr:grpSpPr bwMode="auto">
          <a:xfrm>
            <a:off x="3808413" y="2254249"/>
            <a:ext cx="809625" cy="1365250"/>
            <a:chOff x="4205767" y="2349929"/>
            <a:chExt cx="809624" cy="1346918"/>
          </a:xfrm>
        </xdr:grpSpPr>
        <xdr:sp macro="" textlink="">
          <xdr:nvSpPr>
            <xdr:cNvPr id="27" name="Text Box 19">
              <a:extLst>
                <a:ext uri="{FF2B5EF4-FFF2-40B4-BE49-F238E27FC236}">
                  <a16:creationId xmlns:a16="http://schemas.microsoft.com/office/drawing/2014/main" id="{00000000-0008-0000-0D00-00001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49929"/>
              <a:ext cx="523874" cy="202960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28" name="Text Box 19">
              <a:extLst>
                <a:ext uri="{FF2B5EF4-FFF2-40B4-BE49-F238E27FC236}">
                  <a16:creationId xmlns:a16="http://schemas.microsoft.com/office/drawing/2014/main" id="{00000000-0008-0000-0D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0858"/>
              <a:ext cx="809624" cy="28598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Objetos</a:t>
              </a:r>
            </a:p>
          </xdr:txBody>
        </xdr:sp>
      </xdr:grpSp>
      <xdr:pic>
        <xdr:nvPicPr>
          <xdr:cNvPr id="26" name="Imagem 1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34534" y="2604691"/>
            <a:ext cx="743046" cy="7033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2200275</xdr:colOff>
      <xdr:row>12</xdr:row>
      <xdr:rowOff>104775</xdr:rowOff>
    </xdr:from>
    <xdr:to>
      <xdr:col>1</xdr:col>
      <xdr:colOff>733425</xdr:colOff>
      <xdr:row>21</xdr:row>
      <xdr:rowOff>47625</xdr:rowOff>
    </xdr:to>
    <xdr:grpSp>
      <xdr:nvGrpSpPr>
        <xdr:cNvPr id="29" name="Grupo 3">
          <a:extLst>
            <a:ext uri="{FF2B5EF4-FFF2-40B4-BE49-F238E27FC236}">
              <a16:creationId xmlns:a16="http://schemas.microsoft.com/office/drawing/2014/main" id="{00000000-0008-0000-0D00-00001D000000}"/>
            </a:ext>
            <a:ext uri="{147F2762-F138-4A5C-976F-8EAC2B608ADB}">
              <a16:predDERef xmlns:a16="http://schemas.microsoft.com/office/drawing/2014/main" pred="{FC0084FF-76BE-409A-AD8D-49E3FB58306E}"/>
            </a:ext>
          </a:extLst>
        </xdr:cNvPr>
        <xdr:cNvGrpSpPr>
          <a:grpSpLocks/>
        </xdr:cNvGrpSpPr>
      </xdr:nvGrpSpPr>
      <xdr:grpSpPr bwMode="auto">
        <a:xfrm>
          <a:off x="2200275" y="2314575"/>
          <a:ext cx="914400" cy="1400175"/>
          <a:chOff x="2159002" y="2317751"/>
          <a:chExt cx="849311" cy="1368425"/>
        </a:xfrm>
      </xdr:grpSpPr>
      <xdr:grpSp>
        <xdr:nvGrpSpPr>
          <xdr:cNvPr id="30" name="Grupo 4">
            <a:extLst>
              <a:ext uri="{FF2B5EF4-FFF2-40B4-BE49-F238E27FC236}">
                <a16:creationId xmlns:a16="http://schemas.microsoft.com/office/drawing/2014/main" id="{00000000-0008-0000-0D00-00001E000000}"/>
              </a:ext>
            </a:extLst>
          </xdr:cNvPr>
          <xdr:cNvGrpSpPr>
            <a:grpSpLocks/>
          </xdr:cNvGrpSpPr>
        </xdr:nvGrpSpPr>
        <xdr:grpSpPr bwMode="auto">
          <a:xfrm>
            <a:off x="2198688" y="2317751"/>
            <a:ext cx="809625" cy="1368425"/>
            <a:chOff x="4205767" y="2350004"/>
            <a:chExt cx="809624" cy="1346843"/>
          </a:xfrm>
        </xdr:grpSpPr>
        <xdr:sp macro="" textlink="">
          <xdr:nvSpPr>
            <xdr:cNvPr id="32" name="Text Box 19">
              <a:extLst>
                <a:ext uri="{FF2B5EF4-FFF2-40B4-BE49-F238E27FC236}">
                  <a16:creationId xmlns:a16="http://schemas.microsoft.com/office/drawing/2014/main" id="{00000000-0008-0000-0D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5327" y="2350004"/>
              <a:ext cx="530818" cy="20156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3" name="Text Box 19">
              <a:extLst>
                <a:ext uri="{FF2B5EF4-FFF2-40B4-BE49-F238E27FC236}">
                  <a16:creationId xmlns:a16="http://schemas.microsoft.com/office/drawing/2014/main" id="{00000000-0008-0000-0D00-00002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1469" y="3412819"/>
              <a:ext cx="813922" cy="284028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Queda de Escada</a:t>
              </a:r>
            </a:p>
          </xdr:txBody>
        </xdr:sp>
      </xdr:grpSp>
      <xdr:pic>
        <xdr:nvPicPr>
          <xdr:cNvPr id="31" name="Imagem 2">
            <a:extLst>
              <a:ext uri="{FF2B5EF4-FFF2-40B4-BE49-F238E27FC236}">
                <a16:creationId xmlns:a16="http://schemas.microsoft.com/office/drawing/2014/main" id="{00000000-0008-0000-0D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9002" y="2560638"/>
            <a:ext cx="761998" cy="7619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9525</xdr:colOff>
      <xdr:row>12</xdr:row>
      <xdr:rowOff>114300</xdr:rowOff>
    </xdr:from>
    <xdr:to>
      <xdr:col>2</xdr:col>
      <xdr:colOff>819150</xdr:colOff>
      <xdr:row>21</xdr:row>
      <xdr:rowOff>19050</xdr:rowOff>
    </xdr:to>
    <xdr:grpSp>
      <xdr:nvGrpSpPr>
        <xdr:cNvPr id="34" name="Grupo 8">
          <a:extLst>
            <a:ext uri="{FF2B5EF4-FFF2-40B4-BE49-F238E27FC236}">
              <a16:creationId xmlns:a16="http://schemas.microsoft.com/office/drawing/2014/main" id="{00000000-0008-0000-0D00-000022000000}"/>
            </a:ext>
            <a:ext uri="{147F2762-F138-4A5C-976F-8EAC2B608ADB}">
              <a16:predDERef xmlns:a16="http://schemas.microsoft.com/office/drawing/2014/main" pred="{545E765E-A881-4E80-AEBF-19AC711885F0}"/>
            </a:ext>
          </a:extLst>
        </xdr:cNvPr>
        <xdr:cNvGrpSpPr>
          <a:grpSpLocks/>
        </xdr:cNvGrpSpPr>
      </xdr:nvGrpSpPr>
      <xdr:grpSpPr bwMode="auto">
        <a:xfrm>
          <a:off x="4438650" y="2324100"/>
          <a:ext cx="809625" cy="1362075"/>
          <a:chOff x="4400742" y="2341803"/>
          <a:chExt cx="809625" cy="1385455"/>
        </a:xfrm>
      </xdr:grpSpPr>
      <xdr:grpSp>
        <xdr:nvGrpSpPr>
          <xdr:cNvPr id="35" name="Grupo 4">
            <a:extLst>
              <a:ext uri="{FF2B5EF4-FFF2-40B4-BE49-F238E27FC236}">
                <a16:creationId xmlns:a16="http://schemas.microsoft.com/office/drawing/2014/main" id="{00000000-0008-0000-0D00-000023000000}"/>
              </a:ext>
            </a:extLst>
          </xdr:cNvPr>
          <xdr:cNvGrpSpPr>
            <a:grpSpLocks/>
          </xdr:cNvGrpSpPr>
        </xdr:nvGrpSpPr>
        <xdr:grpSpPr bwMode="auto">
          <a:xfrm>
            <a:off x="4400742" y="2341803"/>
            <a:ext cx="809625" cy="1385455"/>
            <a:chOff x="4205767" y="2381253"/>
            <a:chExt cx="809624" cy="1315594"/>
          </a:xfrm>
        </xdr:grpSpPr>
        <xdr:sp macro="" textlink="">
          <xdr:nvSpPr>
            <xdr:cNvPr id="37" name="Text Box 19">
              <a:extLst>
                <a:ext uri="{FF2B5EF4-FFF2-40B4-BE49-F238E27FC236}">
                  <a16:creationId xmlns:a16="http://schemas.microsoft.com/office/drawing/2014/main" id="{00000000-0008-0000-0D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329592" y="2381253"/>
              <a:ext cx="523874" cy="2023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(      )</a:t>
              </a:r>
            </a:p>
          </xdr:txBody>
        </xdr:sp>
        <xdr:sp macro="" textlink="">
          <xdr:nvSpPr>
            <xdr:cNvPr id="38" name="Text Box 19">
              <a:extLst>
                <a:ext uri="{FF2B5EF4-FFF2-40B4-BE49-F238E27FC236}">
                  <a16:creationId xmlns:a16="http://schemas.microsoft.com/office/drawing/2014/main" id="{00000000-0008-0000-0D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05767" y="3411648"/>
              <a:ext cx="809624" cy="285199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18288" tIns="18288" rIns="18288" bIns="0" anchor="t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Riscos Ergonomicos</a:t>
              </a:r>
            </a:p>
          </xdr:txBody>
        </xdr:sp>
      </xdr:grpSp>
      <xdr:pic>
        <xdr:nvPicPr>
          <xdr:cNvPr id="36" name="Imagem 7">
            <a:extLst>
              <a:ext uri="{FF2B5EF4-FFF2-40B4-BE49-F238E27FC236}">
                <a16:creationId xmlns:a16="http://schemas.microsoft.com/office/drawing/2014/main" id="{00000000-0008-0000-0D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86467" y="2680900"/>
            <a:ext cx="619125" cy="697572"/>
          </a:xfrm>
          <a:prstGeom prst="rect">
            <a:avLst/>
          </a:prstGeom>
          <a:ln w="1905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</xdr:grpSp>
    <xdr:clientData/>
  </xdr:twoCellAnchor>
  <xdr:oneCellAnchor>
    <xdr:from>
      <xdr:col>3</xdr:col>
      <xdr:colOff>1600200</xdr:colOff>
      <xdr:row>7</xdr:row>
      <xdr:rowOff>57150</xdr:rowOff>
    </xdr:from>
    <xdr:ext cx="133350" cy="247650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D00-000027000000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8400" y="1190625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409575</xdr:colOff>
      <xdr:row>12</xdr:row>
      <xdr:rowOff>104775</xdr:rowOff>
    </xdr:from>
    <xdr:ext cx="133350" cy="247650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D00-000028000000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457575" y="2047875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2781300</xdr:colOff>
      <xdr:row>12</xdr:row>
      <xdr:rowOff>104775</xdr:rowOff>
    </xdr:from>
    <xdr:ext cx="133350" cy="247650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D00-000029000000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657600" y="2047875"/>
          <a:ext cx="133350" cy="247650"/>
        </a:xfrm>
        <a:prstGeom prst="rect">
          <a:avLst/>
        </a:prstGeom>
      </xdr:spPr>
    </xdr:pic>
    <xdr:clientData/>
  </xdr:oneCellAnchor>
  <xdr:oneCellAnchor>
    <xdr:from>
      <xdr:col>5</xdr:col>
      <xdr:colOff>409575</xdr:colOff>
      <xdr:row>12</xdr:row>
      <xdr:rowOff>95250</xdr:rowOff>
    </xdr:from>
    <xdr:ext cx="133350" cy="247650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D00-00002A000000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3457575" y="2038350"/>
          <a:ext cx="133350" cy="247650"/>
        </a:xfrm>
        <a:prstGeom prst="rect">
          <a:avLst/>
        </a:prstGeom>
      </xdr:spPr>
    </xdr:pic>
    <xdr:clientData/>
  </xdr:oneCellAnchor>
  <xdr:oneCellAnchor>
    <xdr:from>
      <xdr:col>0</xdr:col>
      <xdr:colOff>504825</xdr:colOff>
      <xdr:row>25</xdr:row>
      <xdr:rowOff>47625</xdr:rowOff>
    </xdr:from>
    <xdr:ext cx="133350" cy="247650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D00-00002B000000}"/>
            </a:ext>
            <a:ext uri="{147F2762-F138-4A5C-976F-8EAC2B608ADB}">
              <a16:predDERef xmlns:a16="http://schemas.microsoft.com/office/drawing/2014/main" pred="{3A8368F8-14BC-4CC9-9B4E-33E8EA33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504825" y="4095750"/>
          <a:ext cx="133350" cy="247650"/>
        </a:xfrm>
        <a:prstGeom prst="rect">
          <a:avLst/>
        </a:prstGeom>
      </xdr:spPr>
    </xdr:pic>
    <xdr:clientData/>
  </xdr:oneCellAnchor>
  <xdr:oneCellAnchor>
    <xdr:from>
      <xdr:col>1</xdr:col>
      <xdr:colOff>1951892</xdr:colOff>
      <xdr:row>25</xdr:row>
      <xdr:rowOff>19050</xdr:rowOff>
    </xdr:from>
    <xdr:ext cx="137013" cy="247650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D00-00002C000000}"/>
            </a:ext>
            <a:ext uri="{147F2762-F138-4A5C-976F-8EAC2B608ADB}">
              <a16:predDERef xmlns:a16="http://schemas.microsoft.com/office/drawing/2014/main" pred="{EE4A9608-5511-403E-AAA0-52504668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1218467" y="4067175"/>
          <a:ext cx="137013" cy="247650"/>
        </a:xfrm>
        <a:prstGeom prst="rect">
          <a:avLst/>
        </a:prstGeom>
      </xdr:spPr>
    </xdr:pic>
    <xdr:clientData/>
  </xdr:oneCellAnchor>
  <xdr:oneCellAnchor>
    <xdr:from>
      <xdr:col>2</xdr:col>
      <xdr:colOff>1951891</xdr:colOff>
      <xdr:row>25</xdr:row>
      <xdr:rowOff>32238</xdr:rowOff>
    </xdr:from>
    <xdr:ext cx="120161" cy="247650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D00-00002D000000}"/>
            </a:ext>
            <a:ext uri="{147F2762-F138-4A5C-976F-8EAC2B608ADB}">
              <a16:predDERef xmlns:a16="http://schemas.microsoft.com/office/drawing/2014/main" pred="{6E69BA8C-2EBA-44FC-A0C0-550EA5CE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 flipV="1">
          <a:off x="1828066" y="4080363"/>
          <a:ext cx="120161" cy="247650"/>
        </a:xfrm>
        <a:prstGeom prst="rect">
          <a:avLst/>
        </a:prstGeom>
      </xdr:spPr>
    </xdr:pic>
    <xdr:clientData/>
  </xdr:oneCellAnchor>
  <xdr:oneCellAnchor>
    <xdr:from>
      <xdr:col>3</xdr:col>
      <xdr:colOff>1429482</xdr:colOff>
      <xdr:row>25</xdr:row>
      <xdr:rowOff>27109</xdr:rowOff>
    </xdr:from>
    <xdr:ext cx="133350" cy="246184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D00-00002E000000}"/>
            </a:ext>
            <a:ext uri="{147F2762-F138-4A5C-976F-8EAC2B608ADB}">
              <a16:predDERef xmlns:a16="http://schemas.microsoft.com/office/drawing/2014/main" pred="{749FC537-39D1-48B9-892B-FBC64E76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V="1">
          <a:off x="2439132" y="4075234"/>
          <a:ext cx="133350" cy="24618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arcos4" displayName="Marcos4" ref="B7:G52" totalsRowShown="0" headerRowDxfId="7" dataDxfId="6">
  <autoFilter ref="B7:G5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Descrição do marco" dataDxfId="5"/>
    <tableColumn id="2" xr3:uid="{00000000-0010-0000-0000-000002000000}" name="Risco" dataDxfId="4"/>
    <tableColumn id="3" xr3:uid="{00000000-0010-0000-0000-000003000000}" name="Atribuído a" dataDxfId="3"/>
    <tableColumn id="4" xr3:uid="{00000000-0010-0000-0000-000004000000}" name="Progresso" dataDxfId="2"/>
    <tableColumn id="5" xr3:uid="{00000000-0010-0000-0000-000005000000}" name="Início" dataDxfId="1" dataCellStyle="Data"/>
    <tableColumn id="6" xr3:uid="{00000000-0010-0000-0000-000006000000}" name="Nº de dias" dataDxfId="0"/>
  </tableColumns>
  <tableStyleInfo name="Estilo de tabela de Gantt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de uma fase, tarefa, atividade, etc. na coluna abaixo de Descrição. Selecione uma categoria na coluna Categoria. Atribua o item a uma pessoa na coluna Atribuído a. Atualize o progresso e observe a atualização automática das barras de dados na coluna Progresso. Digite a data de início na coluna Início e o número de dias na coluna Número de dias. Os Dados de Gantt nas células J9 a BM 34 serão atualizados automaticamente. Adicione novas linhas à tabela para adicionar mais tarefas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9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"/>
  <sheetViews>
    <sheetView showGridLines="0" topLeftCell="EK36" zoomScale="20" zoomScaleNormal="20" zoomScaleSheetLayoutView="30" workbookViewId="0">
      <selection activeCell="KE367" sqref="KE367"/>
    </sheetView>
  </sheetViews>
  <sheetFormatPr defaultRowHeight="15"/>
  <sheetData/>
  <pageMargins left="0.7" right="0.7" top="0.75" bottom="0.75" header="0.3" footer="0.3"/>
  <pageSetup paperSize="9" orientation="portrait" r:id="rId1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CU163"/>
  <sheetViews>
    <sheetView topLeftCell="M60" zoomScale="86" zoomScaleNormal="86" workbookViewId="0">
      <selection activeCell="Y23" sqref="Y23:Y25"/>
    </sheetView>
  </sheetViews>
  <sheetFormatPr defaultRowHeight="50.1" customHeight="1"/>
  <cols>
    <col min="1" max="1" width="28.28515625" customWidth="1"/>
    <col min="2" max="2" width="44.85546875" style="15" customWidth="1"/>
    <col min="3" max="3" width="78.42578125" customWidth="1"/>
    <col min="4" max="4" width="105.28515625" customWidth="1"/>
    <col min="5" max="5" width="76.7109375" customWidth="1"/>
    <col min="6" max="6" width="55.5703125" customWidth="1"/>
    <col min="7" max="9" width="50.7109375" customWidth="1"/>
    <col min="10" max="10" width="84.7109375" customWidth="1"/>
    <col min="11" max="11" width="81" customWidth="1"/>
    <col min="12" max="13" width="50.7109375" customWidth="1"/>
    <col min="14" max="14" width="102" customWidth="1"/>
    <col min="15" max="19" width="50.7109375" customWidth="1"/>
    <col min="20" max="20" width="44.5703125" customWidth="1"/>
    <col min="21" max="21" width="12.42578125" customWidth="1"/>
    <col min="22" max="22" width="25.85546875" customWidth="1"/>
    <col min="23" max="23" width="22.42578125" customWidth="1"/>
    <col min="24" max="24" width="33.42578125" customWidth="1"/>
    <col min="25" max="26" width="33.85546875" customWidth="1"/>
    <col min="27" max="27" width="20.85546875" customWidth="1"/>
    <col min="28" max="35" width="22" customWidth="1"/>
    <col min="36" max="45" width="24.140625" customWidth="1"/>
  </cols>
  <sheetData>
    <row r="1" spans="1:99" ht="99" customHeight="1">
      <c r="A1" s="231"/>
      <c r="B1" s="232"/>
      <c r="C1" s="232"/>
      <c r="D1" s="481" t="s">
        <v>0</v>
      </c>
      <c r="E1" s="481"/>
      <c r="F1" s="482"/>
      <c r="G1" s="359" t="s">
        <v>1</v>
      </c>
      <c r="H1" s="360"/>
      <c r="I1" s="361"/>
      <c r="J1" s="345" t="s">
        <v>2</v>
      </c>
      <c r="K1" s="351"/>
      <c r="L1" s="352"/>
      <c r="M1" s="345" t="s">
        <v>3</v>
      </c>
      <c r="N1" s="346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09"/>
      <c r="BI1" s="209"/>
      <c r="BJ1" s="209"/>
      <c r="BK1" s="209"/>
      <c r="BL1" s="209"/>
      <c r="BM1" s="209"/>
      <c r="BN1" s="209"/>
      <c r="BO1" s="209"/>
      <c r="BP1" s="209"/>
      <c r="BQ1" s="209"/>
      <c r="BR1" s="209"/>
      <c r="BS1" s="209"/>
      <c r="BT1" s="209"/>
      <c r="BU1" s="209"/>
      <c r="BV1" s="209"/>
      <c r="BW1" s="209"/>
      <c r="BX1" s="209"/>
      <c r="BY1" s="209"/>
      <c r="BZ1" s="209"/>
      <c r="CA1" s="209"/>
      <c r="CB1" s="209"/>
      <c r="CC1" s="209"/>
      <c r="CD1" s="209"/>
      <c r="CE1" s="209"/>
      <c r="CF1" s="209"/>
      <c r="CG1" s="209"/>
      <c r="CH1" s="209"/>
      <c r="CI1" s="209"/>
      <c r="CJ1" s="209"/>
      <c r="CK1" s="209"/>
      <c r="CL1" s="209"/>
      <c r="CM1" s="209"/>
      <c r="CN1" s="209"/>
      <c r="CO1" s="209"/>
      <c r="CP1" s="209"/>
      <c r="CQ1" s="209"/>
      <c r="CR1" s="209"/>
      <c r="CS1" s="209"/>
      <c r="CT1" s="209"/>
      <c r="CU1" s="209"/>
    </row>
    <row r="2" spans="1:99" ht="99" customHeight="1">
      <c r="A2" s="233"/>
      <c r="B2" s="222"/>
      <c r="C2" s="222"/>
      <c r="D2" s="354" t="s">
        <v>4</v>
      </c>
      <c r="E2" s="354"/>
      <c r="F2" s="355"/>
      <c r="G2" s="362" t="s">
        <v>5</v>
      </c>
      <c r="H2" s="363"/>
      <c r="I2" s="364"/>
      <c r="J2" s="353"/>
      <c r="K2" s="354"/>
      <c r="L2" s="355"/>
      <c r="M2" s="347"/>
      <c r="N2" s="348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09"/>
      <c r="BP2" s="209"/>
      <c r="BQ2" s="209"/>
      <c r="BR2" s="209"/>
      <c r="BS2" s="209"/>
      <c r="BT2" s="209"/>
      <c r="BU2" s="209"/>
      <c r="BV2" s="209"/>
      <c r="BW2" s="209"/>
      <c r="BX2" s="209"/>
      <c r="BY2" s="209"/>
      <c r="BZ2" s="209"/>
      <c r="CA2" s="209"/>
      <c r="CB2" s="209"/>
      <c r="CC2" s="209"/>
      <c r="CD2" s="209"/>
      <c r="CE2" s="209"/>
      <c r="CF2" s="209"/>
      <c r="CG2" s="209"/>
      <c r="CH2" s="209"/>
      <c r="CI2" s="209"/>
      <c r="CJ2" s="209"/>
      <c r="CK2" s="209"/>
      <c r="CL2" s="209"/>
      <c r="CM2" s="209"/>
      <c r="CN2" s="209"/>
      <c r="CO2" s="209"/>
      <c r="CP2" s="209"/>
      <c r="CQ2" s="209"/>
      <c r="CR2" s="209"/>
      <c r="CS2" s="209"/>
      <c r="CT2" s="209"/>
      <c r="CU2" s="209"/>
    </row>
    <row r="3" spans="1:99" ht="99" customHeight="1">
      <c r="A3" s="233"/>
      <c r="B3" s="222"/>
      <c r="C3" s="222"/>
      <c r="D3" s="354"/>
      <c r="E3" s="354"/>
      <c r="F3" s="355"/>
      <c r="G3" s="362" t="s">
        <v>6</v>
      </c>
      <c r="H3" s="363"/>
      <c r="I3" s="364"/>
      <c r="J3" s="353"/>
      <c r="K3" s="354"/>
      <c r="L3" s="355"/>
      <c r="M3" s="347"/>
      <c r="N3" s="348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/>
      <c r="BV3" s="209"/>
      <c r="BW3" s="209"/>
      <c r="BX3" s="209"/>
      <c r="BY3" s="209"/>
      <c r="BZ3" s="209"/>
      <c r="CA3" s="209"/>
      <c r="CB3" s="209"/>
      <c r="CC3" s="209"/>
      <c r="CD3" s="209"/>
      <c r="CE3" s="209"/>
      <c r="CF3" s="209"/>
      <c r="CG3" s="209"/>
      <c r="CH3" s="209"/>
      <c r="CI3" s="209"/>
      <c r="CJ3" s="209"/>
      <c r="CK3" s="209"/>
      <c r="CL3" s="209"/>
      <c r="CM3" s="209"/>
      <c r="CN3" s="209"/>
      <c r="CO3" s="209"/>
      <c r="CP3" s="209"/>
      <c r="CQ3" s="209"/>
      <c r="CR3" s="209"/>
      <c r="CS3" s="209"/>
      <c r="CT3" s="209"/>
      <c r="CU3" s="209"/>
    </row>
    <row r="4" spans="1:99" ht="99" customHeight="1">
      <c r="A4" s="233"/>
      <c r="B4" s="222"/>
      <c r="C4" s="222"/>
      <c r="D4" s="354"/>
      <c r="E4" s="354"/>
      <c r="F4" s="355"/>
      <c r="G4" s="365" t="s">
        <v>7</v>
      </c>
      <c r="H4" s="366"/>
      <c r="I4" s="367"/>
      <c r="J4" s="353"/>
      <c r="K4" s="354"/>
      <c r="L4" s="355"/>
      <c r="M4" s="347"/>
      <c r="N4" s="348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/>
      <c r="AY4" s="209"/>
      <c r="AZ4" s="209"/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/>
      <c r="BU4" s="209"/>
      <c r="BV4" s="209"/>
      <c r="BW4" s="209"/>
      <c r="BX4" s="209"/>
      <c r="BY4" s="209"/>
      <c r="BZ4" s="209"/>
      <c r="CA4" s="209"/>
      <c r="CB4" s="209"/>
      <c r="CC4" s="209"/>
      <c r="CD4" s="209"/>
      <c r="CE4" s="209"/>
      <c r="CF4" s="209"/>
      <c r="CG4" s="209"/>
      <c r="CH4" s="209"/>
      <c r="CI4" s="209"/>
      <c r="CJ4" s="209"/>
      <c r="CK4" s="209"/>
      <c r="CL4" s="209"/>
      <c r="CM4" s="209"/>
      <c r="CN4" s="209"/>
      <c r="CO4" s="209"/>
      <c r="CP4" s="209"/>
      <c r="CQ4" s="209"/>
      <c r="CR4" s="209"/>
      <c r="CS4" s="209"/>
      <c r="CT4" s="209"/>
      <c r="CU4" s="209"/>
    </row>
    <row r="5" spans="1:99" ht="99" customHeight="1">
      <c r="A5" s="233"/>
      <c r="B5" s="222"/>
      <c r="C5" s="222"/>
      <c r="D5" s="354"/>
      <c r="E5" s="354"/>
      <c r="F5" s="355"/>
      <c r="G5" s="365" t="s">
        <v>8</v>
      </c>
      <c r="H5" s="366"/>
      <c r="I5" s="367"/>
      <c r="J5" s="353"/>
      <c r="K5" s="354"/>
      <c r="L5" s="355"/>
      <c r="M5" s="347"/>
      <c r="N5" s="348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472"/>
      <c r="AB5" s="472"/>
      <c r="AC5" s="472"/>
      <c r="AD5" s="472"/>
      <c r="AE5" s="472"/>
      <c r="AF5" s="472"/>
      <c r="AG5" s="472"/>
      <c r="AH5" s="472"/>
      <c r="AI5" s="472"/>
      <c r="AJ5" s="472"/>
      <c r="AK5" s="472"/>
      <c r="AL5" s="472"/>
      <c r="AM5" s="472"/>
      <c r="AN5" s="472"/>
      <c r="AO5" s="472"/>
      <c r="AP5" s="472"/>
      <c r="AQ5" s="472"/>
      <c r="AR5" s="472"/>
      <c r="AS5" s="472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</row>
    <row r="6" spans="1:99" s="54" customFormat="1" ht="126" customHeight="1">
      <c r="A6" s="234"/>
      <c r="B6" s="235"/>
      <c r="C6" s="235"/>
      <c r="D6" s="357"/>
      <c r="E6" s="357"/>
      <c r="F6" s="358"/>
      <c r="G6" s="368" t="s">
        <v>9</v>
      </c>
      <c r="H6" s="369"/>
      <c r="I6" s="370"/>
      <c r="J6" s="356"/>
      <c r="K6" s="357"/>
      <c r="L6" s="358"/>
      <c r="M6" s="349"/>
      <c r="N6" s="350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71"/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</row>
    <row r="7" spans="1:99" ht="50.1" customHeight="1">
      <c r="A7" s="469" t="s">
        <v>10</v>
      </c>
      <c r="B7" s="400" t="s">
        <v>11</v>
      </c>
      <c r="C7" s="223" t="s">
        <v>12</v>
      </c>
      <c r="D7" s="224" t="s">
        <v>13</v>
      </c>
      <c r="E7" s="224" t="s">
        <v>14</v>
      </c>
      <c r="F7" s="224" t="s">
        <v>15</v>
      </c>
      <c r="G7" s="224" t="s">
        <v>16</v>
      </c>
      <c r="H7" s="225" t="s">
        <v>17</v>
      </c>
      <c r="I7" s="226" t="s">
        <v>18</v>
      </c>
      <c r="J7" s="227" t="s">
        <v>19</v>
      </c>
      <c r="K7" s="227" t="s">
        <v>20</v>
      </c>
      <c r="L7" s="228" t="s">
        <v>21</v>
      </c>
      <c r="M7" s="229" t="s">
        <v>22</v>
      </c>
      <c r="N7" s="230" t="s">
        <v>23</v>
      </c>
      <c r="O7" s="473"/>
      <c r="P7" s="473"/>
      <c r="Q7" s="473"/>
      <c r="R7" s="473"/>
      <c r="S7" s="473"/>
      <c r="T7" s="271"/>
      <c r="U7" s="209"/>
      <c r="V7" s="271"/>
      <c r="W7" s="271"/>
      <c r="X7" s="271"/>
      <c r="Y7" s="271"/>
      <c r="Z7" s="271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09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209"/>
      <c r="BG7" s="209"/>
      <c r="BH7" s="209"/>
      <c r="BI7" s="209"/>
      <c r="BJ7" s="209"/>
      <c r="BK7" s="209"/>
      <c r="BL7" s="209"/>
      <c r="BM7" s="209"/>
      <c r="BN7" s="209"/>
      <c r="BO7" s="209"/>
      <c r="BP7" s="209"/>
      <c r="BQ7" s="209"/>
      <c r="BR7" s="209"/>
      <c r="BS7" s="209"/>
      <c r="BT7" s="209"/>
      <c r="BU7" s="209"/>
      <c r="BV7" s="209"/>
      <c r="BW7" s="209"/>
      <c r="BX7" s="209"/>
      <c r="BY7" s="209"/>
      <c r="BZ7" s="209"/>
      <c r="CA7" s="209"/>
      <c r="CB7" s="209"/>
      <c r="CC7" s="209"/>
      <c r="CD7" s="209"/>
      <c r="CE7" s="209"/>
      <c r="CF7" s="209"/>
      <c r="CG7" s="209"/>
      <c r="CH7" s="209"/>
      <c r="CI7" s="209"/>
      <c r="CJ7" s="209"/>
      <c r="CK7" s="209"/>
      <c r="CL7" s="209"/>
      <c r="CM7" s="209"/>
      <c r="CN7" s="209"/>
      <c r="CO7" s="209"/>
      <c r="CP7" s="209"/>
      <c r="CQ7" s="209"/>
      <c r="CR7" s="209"/>
      <c r="CS7" s="209"/>
      <c r="CT7" s="209"/>
      <c r="CU7" s="209"/>
    </row>
    <row r="8" spans="1:99" ht="50.1" customHeight="1">
      <c r="A8" s="469"/>
      <c r="B8" s="400"/>
      <c r="C8" s="395" t="s">
        <v>24</v>
      </c>
      <c r="D8" s="397" t="s">
        <v>25</v>
      </c>
      <c r="E8" s="397" t="s">
        <v>26</v>
      </c>
      <c r="F8" s="393" t="s">
        <v>27</v>
      </c>
      <c r="G8" s="393" t="s">
        <v>28</v>
      </c>
      <c r="H8" s="393" t="s">
        <v>27</v>
      </c>
      <c r="I8" s="393" t="s">
        <v>27</v>
      </c>
      <c r="J8" s="393" t="s">
        <v>29</v>
      </c>
      <c r="K8" s="393" t="s">
        <v>30</v>
      </c>
      <c r="L8" s="393" t="s">
        <v>31</v>
      </c>
      <c r="M8" s="408" t="s">
        <v>32</v>
      </c>
      <c r="N8" s="384" t="s">
        <v>33</v>
      </c>
      <c r="O8" s="211"/>
      <c r="P8" s="239"/>
      <c r="Q8" s="239"/>
      <c r="R8" s="239"/>
      <c r="S8" s="239"/>
      <c r="T8" s="373"/>
      <c r="U8" s="209"/>
      <c r="V8" s="374"/>
      <c r="W8" s="477"/>
      <c r="X8" s="375"/>
      <c r="Y8" s="374"/>
      <c r="Z8" s="240"/>
      <c r="AA8" s="371"/>
      <c r="AB8" s="371"/>
      <c r="AC8" s="479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</row>
    <row r="9" spans="1:99" ht="176.25" customHeight="1">
      <c r="A9" s="469"/>
      <c r="B9" s="400"/>
      <c r="C9" s="396"/>
      <c r="D9" s="398"/>
      <c r="E9" s="398"/>
      <c r="F9" s="394"/>
      <c r="G9" s="394"/>
      <c r="H9" s="394"/>
      <c r="I9" s="394"/>
      <c r="J9" s="394"/>
      <c r="K9" s="394"/>
      <c r="L9" s="394"/>
      <c r="M9" s="378"/>
      <c r="N9" s="384"/>
      <c r="O9" s="252"/>
      <c r="P9" s="239"/>
      <c r="Q9" s="239"/>
      <c r="R9" s="239"/>
      <c r="S9" s="255"/>
      <c r="T9" s="373"/>
      <c r="U9" s="209"/>
      <c r="V9" s="374"/>
      <c r="W9" s="477"/>
      <c r="X9" s="375"/>
      <c r="Y9" s="374"/>
      <c r="Z9" s="240"/>
      <c r="AA9" s="371"/>
      <c r="AB9" s="371"/>
      <c r="AC9" s="479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  <c r="AO9" s="371"/>
      <c r="AP9" s="371"/>
      <c r="AQ9" s="371"/>
      <c r="AR9" s="371"/>
      <c r="AS9" s="371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209"/>
      <c r="BG9" s="209"/>
      <c r="BH9" s="209"/>
      <c r="BI9" s="209"/>
      <c r="BJ9" s="209"/>
      <c r="BK9" s="209"/>
      <c r="BL9" s="209"/>
      <c r="BM9" s="209"/>
      <c r="BN9" s="209"/>
      <c r="BO9" s="209"/>
      <c r="BP9" s="209"/>
      <c r="BQ9" s="209"/>
      <c r="BR9" s="209"/>
      <c r="BS9" s="209"/>
      <c r="BT9" s="209"/>
      <c r="BU9" s="209"/>
      <c r="BV9" s="209"/>
      <c r="BW9" s="209"/>
      <c r="BX9" s="209"/>
      <c r="BY9" s="209"/>
      <c r="BZ9" s="209"/>
      <c r="CA9" s="209"/>
      <c r="CB9" s="209"/>
      <c r="CC9" s="209"/>
      <c r="CD9" s="209"/>
      <c r="CE9" s="209"/>
      <c r="CF9" s="209"/>
      <c r="CG9" s="209"/>
      <c r="CH9" s="209"/>
      <c r="CI9" s="209"/>
      <c r="CJ9" s="209"/>
      <c r="CK9" s="209"/>
      <c r="CL9" s="209"/>
      <c r="CM9" s="209"/>
      <c r="CN9" s="209"/>
      <c r="CO9" s="209"/>
      <c r="CP9" s="209"/>
      <c r="CQ9" s="209"/>
      <c r="CR9" s="209"/>
      <c r="CS9" s="209"/>
      <c r="CT9" s="209"/>
      <c r="CU9" s="209"/>
    </row>
    <row r="10" spans="1:99" ht="50.1" customHeight="1">
      <c r="A10" s="469"/>
      <c r="B10" s="400"/>
      <c r="C10" s="406" t="s">
        <v>34</v>
      </c>
      <c r="D10" s="407" t="s">
        <v>35</v>
      </c>
      <c r="E10" s="407" t="s">
        <v>36</v>
      </c>
      <c r="F10" s="402" t="s">
        <v>27</v>
      </c>
      <c r="G10" s="402" t="s">
        <v>28</v>
      </c>
      <c r="H10" s="402" t="s">
        <v>27</v>
      </c>
      <c r="I10" s="402" t="s">
        <v>27</v>
      </c>
      <c r="J10" s="402" t="s">
        <v>37</v>
      </c>
      <c r="K10" s="402" t="s">
        <v>38</v>
      </c>
      <c r="L10" s="402" t="s">
        <v>31</v>
      </c>
      <c r="M10" s="380" t="s">
        <v>32</v>
      </c>
      <c r="N10" s="384" t="s">
        <v>33</v>
      </c>
      <c r="O10" s="399"/>
      <c r="P10" s="373"/>
      <c r="Q10" s="373"/>
      <c r="R10" s="373"/>
      <c r="S10" s="410"/>
      <c r="T10" s="373"/>
      <c r="U10" s="209"/>
      <c r="V10" s="374"/>
      <c r="W10" s="374"/>
      <c r="X10" s="375"/>
      <c r="Y10" s="374"/>
      <c r="Z10" s="240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  <c r="AO10" s="371"/>
      <c r="AP10" s="371"/>
      <c r="AQ10" s="371"/>
      <c r="AR10" s="371"/>
      <c r="AS10" s="371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/>
      <c r="BG10" s="209"/>
      <c r="BH10" s="209"/>
      <c r="BI10" s="209"/>
      <c r="BJ10" s="209"/>
      <c r="BK10" s="209"/>
      <c r="BL10" s="209"/>
      <c r="BM10" s="209"/>
      <c r="BN10" s="209"/>
      <c r="BO10" s="209"/>
      <c r="BP10" s="209"/>
      <c r="BQ10" s="209"/>
      <c r="BR10" s="209"/>
      <c r="BS10" s="209"/>
      <c r="BT10" s="209"/>
      <c r="BU10" s="209"/>
      <c r="BV10" s="209"/>
      <c r="BW10" s="209"/>
      <c r="BX10" s="209"/>
      <c r="BY10" s="209"/>
      <c r="BZ10" s="209"/>
      <c r="CA10" s="209"/>
      <c r="CB10" s="209"/>
      <c r="CC10" s="209"/>
      <c r="CD10" s="209"/>
      <c r="CE10" s="209"/>
      <c r="CF10" s="209"/>
      <c r="CG10" s="209"/>
      <c r="CH10" s="209"/>
      <c r="CI10" s="209"/>
      <c r="CJ10" s="209"/>
      <c r="CK10" s="209"/>
      <c r="CL10" s="209"/>
      <c r="CM10" s="209"/>
      <c r="CN10" s="209"/>
      <c r="CO10" s="209"/>
      <c r="CP10" s="209"/>
      <c r="CQ10" s="209"/>
      <c r="CR10" s="209"/>
      <c r="CS10" s="209"/>
      <c r="CT10" s="209"/>
      <c r="CU10" s="209"/>
    </row>
    <row r="11" spans="1:99" ht="111" customHeight="1">
      <c r="A11" s="469"/>
      <c r="B11" s="400"/>
      <c r="C11" s="396"/>
      <c r="D11" s="398"/>
      <c r="E11" s="398"/>
      <c r="F11" s="394"/>
      <c r="G11" s="394"/>
      <c r="H11" s="394"/>
      <c r="I11" s="394"/>
      <c r="J11" s="394"/>
      <c r="K11" s="394"/>
      <c r="L11" s="394"/>
      <c r="M11" s="378"/>
      <c r="N11" s="384"/>
      <c r="O11" s="399"/>
      <c r="P11" s="373"/>
      <c r="Q11" s="373"/>
      <c r="R11" s="373"/>
      <c r="S11" s="410"/>
      <c r="T11" s="373"/>
      <c r="U11" s="209"/>
      <c r="V11" s="374"/>
      <c r="W11" s="374"/>
      <c r="X11" s="375"/>
      <c r="Y11" s="374"/>
      <c r="Z11" s="240"/>
      <c r="AA11" s="371"/>
      <c r="AB11" s="371"/>
      <c r="AC11" s="371"/>
      <c r="AD11" s="371"/>
      <c r="AE11" s="371"/>
      <c r="AF11" s="371"/>
      <c r="AG11" s="371"/>
      <c r="AH11" s="371"/>
      <c r="AI11" s="371"/>
      <c r="AJ11" s="371"/>
      <c r="AK11" s="371"/>
      <c r="AL11" s="371"/>
      <c r="AM11" s="371"/>
      <c r="AN11" s="371"/>
      <c r="AO11" s="371"/>
      <c r="AP11" s="371"/>
      <c r="AQ11" s="371"/>
      <c r="AR11" s="371"/>
      <c r="AS11" s="371"/>
      <c r="AT11" s="209"/>
      <c r="AU11" s="209"/>
      <c r="AV11" s="209"/>
      <c r="AW11" s="209"/>
      <c r="AX11" s="209"/>
      <c r="AY11" s="209"/>
      <c r="AZ11" s="209"/>
      <c r="BA11" s="209"/>
      <c r="BB11" s="209"/>
      <c r="BC11" s="209"/>
      <c r="BD11" s="209"/>
      <c r="BE11" s="209"/>
      <c r="BF11" s="209"/>
      <c r="BG11" s="209"/>
      <c r="BH11" s="209"/>
      <c r="BI11" s="209"/>
      <c r="BJ11" s="209"/>
      <c r="BK11" s="209"/>
      <c r="BL11" s="209"/>
      <c r="BM11" s="209"/>
      <c r="BN11" s="209"/>
      <c r="BO11" s="209"/>
      <c r="BP11" s="209"/>
      <c r="BQ11" s="209"/>
      <c r="BR11" s="209"/>
      <c r="BS11" s="209"/>
      <c r="BT11" s="209"/>
      <c r="BU11" s="209"/>
      <c r="BV11" s="209"/>
      <c r="BW11" s="209"/>
      <c r="BX11" s="209"/>
      <c r="BY11" s="209"/>
      <c r="BZ11" s="209"/>
      <c r="CA11" s="209"/>
      <c r="CB11" s="209"/>
      <c r="CC11" s="209"/>
      <c r="CD11" s="209"/>
      <c r="CE11" s="209"/>
      <c r="CF11" s="209"/>
      <c r="CG11" s="209"/>
      <c r="CH11" s="209"/>
      <c r="CI11" s="209"/>
      <c r="CJ11" s="209"/>
      <c r="CK11" s="209"/>
      <c r="CL11" s="209"/>
      <c r="CM11" s="209"/>
      <c r="CN11" s="209"/>
      <c r="CO11" s="209"/>
      <c r="CP11" s="209"/>
      <c r="CQ11" s="209"/>
      <c r="CR11" s="209"/>
      <c r="CS11" s="209"/>
      <c r="CT11" s="209"/>
      <c r="CU11" s="209"/>
    </row>
    <row r="12" spans="1:99" ht="205.5" customHeight="1">
      <c r="A12" s="469"/>
      <c r="B12" s="400"/>
      <c r="C12" s="259" t="s">
        <v>39</v>
      </c>
      <c r="D12" s="248" t="s">
        <v>40</v>
      </c>
      <c r="E12" s="248" t="s">
        <v>41</v>
      </c>
      <c r="F12" s="242" t="s">
        <v>27</v>
      </c>
      <c r="G12" s="242" t="s">
        <v>42</v>
      </c>
      <c r="H12" s="242" t="s">
        <v>27</v>
      </c>
      <c r="I12" s="242" t="s">
        <v>27</v>
      </c>
      <c r="J12" s="242" t="s">
        <v>43</v>
      </c>
      <c r="K12" s="242" t="s">
        <v>44</v>
      </c>
      <c r="L12" s="242" t="s">
        <v>31</v>
      </c>
      <c r="M12" s="244" t="s">
        <v>32</v>
      </c>
      <c r="N12" s="247" t="s">
        <v>33</v>
      </c>
      <c r="O12" s="252"/>
      <c r="P12" s="239"/>
      <c r="Q12" s="239"/>
      <c r="R12" s="239"/>
      <c r="S12" s="212"/>
      <c r="T12" s="213"/>
      <c r="U12" s="209"/>
      <c r="V12" s="240"/>
      <c r="W12" s="240"/>
      <c r="X12" s="241"/>
      <c r="Y12" s="240"/>
      <c r="Z12" s="240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09"/>
      <c r="BF12" s="209"/>
      <c r="BG12" s="209"/>
      <c r="BH12" s="209"/>
      <c r="BI12" s="209"/>
      <c r="BJ12" s="209"/>
      <c r="BK12" s="209"/>
      <c r="BL12" s="209"/>
      <c r="BM12" s="209"/>
      <c r="BN12" s="209"/>
      <c r="BO12" s="209"/>
      <c r="BP12" s="209"/>
      <c r="BQ12" s="209"/>
      <c r="BR12" s="209"/>
      <c r="BS12" s="209"/>
      <c r="BT12" s="209"/>
      <c r="BU12" s="209"/>
      <c r="BV12" s="209"/>
      <c r="BW12" s="209"/>
      <c r="BX12" s="209"/>
      <c r="BY12" s="209"/>
      <c r="BZ12" s="209"/>
      <c r="CA12" s="209"/>
      <c r="CB12" s="209"/>
      <c r="CC12" s="209"/>
      <c r="CD12" s="209"/>
      <c r="CE12" s="209"/>
      <c r="CF12" s="209"/>
      <c r="CG12" s="209"/>
      <c r="CH12" s="209"/>
      <c r="CI12" s="209"/>
      <c r="CJ12" s="209"/>
      <c r="CK12" s="209"/>
      <c r="CL12" s="209"/>
      <c r="CM12" s="209"/>
      <c r="CN12" s="209"/>
      <c r="CO12" s="209"/>
      <c r="CP12" s="209"/>
      <c r="CQ12" s="209"/>
      <c r="CR12" s="209"/>
      <c r="CS12" s="209"/>
      <c r="CT12" s="209"/>
      <c r="CU12" s="209"/>
    </row>
    <row r="13" spans="1:99" ht="63" customHeight="1">
      <c r="A13" s="469"/>
      <c r="B13" s="400"/>
      <c r="C13" s="406" t="s">
        <v>45</v>
      </c>
      <c r="D13" s="407" t="s">
        <v>46</v>
      </c>
      <c r="E13" s="407" t="s">
        <v>47</v>
      </c>
      <c r="F13" s="402" t="s">
        <v>27</v>
      </c>
      <c r="G13" s="402" t="s">
        <v>28</v>
      </c>
      <c r="H13" s="402" t="s">
        <v>27</v>
      </c>
      <c r="I13" s="402" t="s">
        <v>27</v>
      </c>
      <c r="J13" s="402" t="s">
        <v>48</v>
      </c>
      <c r="K13" s="402" t="s">
        <v>49</v>
      </c>
      <c r="L13" s="402" t="s">
        <v>50</v>
      </c>
      <c r="M13" s="380" t="s">
        <v>32</v>
      </c>
      <c r="N13" s="384" t="s">
        <v>33</v>
      </c>
      <c r="O13" s="399"/>
      <c r="P13" s="373"/>
      <c r="Q13" s="373"/>
      <c r="R13" s="373"/>
      <c r="S13" s="373"/>
      <c r="T13" s="373"/>
      <c r="U13" s="209"/>
      <c r="V13" s="374"/>
      <c r="W13" s="374"/>
      <c r="X13" s="375"/>
      <c r="Y13" s="374"/>
      <c r="Z13" s="240"/>
      <c r="AA13" s="371"/>
      <c r="AB13" s="371"/>
      <c r="AC13" s="371"/>
      <c r="AD13" s="371"/>
      <c r="AE13" s="371"/>
      <c r="AF13" s="371"/>
      <c r="AG13" s="371"/>
      <c r="AH13" s="371"/>
      <c r="AI13" s="371"/>
      <c r="AJ13" s="371"/>
      <c r="AK13" s="371"/>
      <c r="AL13" s="371"/>
      <c r="AM13" s="371"/>
      <c r="AN13" s="371"/>
      <c r="AO13" s="371"/>
      <c r="AP13" s="371"/>
      <c r="AQ13" s="371"/>
      <c r="AR13" s="371"/>
      <c r="AS13" s="371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</row>
    <row r="14" spans="1:99" ht="195" customHeight="1">
      <c r="A14" s="469"/>
      <c r="B14" s="400"/>
      <c r="C14" s="396"/>
      <c r="D14" s="398"/>
      <c r="E14" s="398"/>
      <c r="F14" s="394"/>
      <c r="G14" s="394"/>
      <c r="H14" s="394"/>
      <c r="I14" s="394"/>
      <c r="J14" s="394"/>
      <c r="K14" s="394"/>
      <c r="L14" s="394"/>
      <c r="M14" s="378"/>
      <c r="N14" s="384"/>
      <c r="O14" s="399"/>
      <c r="P14" s="373"/>
      <c r="Q14" s="373"/>
      <c r="R14" s="373"/>
      <c r="S14" s="373"/>
      <c r="T14" s="373"/>
      <c r="U14" s="209"/>
      <c r="V14" s="374"/>
      <c r="W14" s="374"/>
      <c r="X14" s="375"/>
      <c r="Y14" s="374"/>
      <c r="Z14" s="240"/>
      <c r="AA14" s="371"/>
      <c r="AB14" s="371"/>
      <c r="AC14" s="371"/>
      <c r="AD14" s="371"/>
      <c r="AE14" s="371"/>
      <c r="AF14" s="371"/>
      <c r="AG14" s="371"/>
      <c r="AH14" s="371"/>
      <c r="AI14" s="371"/>
      <c r="AJ14" s="371"/>
      <c r="AK14" s="371"/>
      <c r="AL14" s="371"/>
      <c r="AM14" s="371"/>
      <c r="AN14" s="371"/>
      <c r="AO14" s="371"/>
      <c r="AP14" s="371"/>
      <c r="AQ14" s="371"/>
      <c r="AR14" s="371"/>
      <c r="AS14" s="371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09"/>
      <c r="BU14" s="209"/>
      <c r="BV14" s="209"/>
      <c r="BW14" s="209"/>
      <c r="BX14" s="209"/>
      <c r="BY14" s="209"/>
      <c r="BZ14" s="209"/>
      <c r="CA14" s="209"/>
      <c r="CB14" s="209"/>
      <c r="CC14" s="209"/>
      <c r="CD14" s="209"/>
      <c r="CE14" s="209"/>
      <c r="CF14" s="209"/>
      <c r="CG14" s="209"/>
      <c r="CH14" s="209"/>
      <c r="CI14" s="209"/>
      <c r="CJ14" s="209"/>
      <c r="CK14" s="209"/>
      <c r="CL14" s="209"/>
      <c r="CM14" s="209"/>
      <c r="CN14" s="209"/>
      <c r="CO14" s="209"/>
      <c r="CP14" s="209"/>
      <c r="CQ14" s="209"/>
      <c r="CR14" s="209"/>
      <c r="CS14" s="209"/>
      <c r="CT14" s="209"/>
      <c r="CU14" s="209"/>
    </row>
    <row r="15" spans="1:99" ht="151.5" customHeight="1">
      <c r="A15" s="469"/>
      <c r="B15" s="400"/>
      <c r="C15" s="259" t="s">
        <v>51</v>
      </c>
      <c r="D15" s="248" t="s">
        <v>52</v>
      </c>
      <c r="E15" s="248" t="s">
        <v>53</v>
      </c>
      <c r="F15" s="242" t="s">
        <v>27</v>
      </c>
      <c r="G15" s="242" t="s">
        <v>54</v>
      </c>
      <c r="H15" s="242" t="s">
        <v>27</v>
      </c>
      <c r="I15" s="242" t="s">
        <v>27</v>
      </c>
      <c r="J15" s="242" t="s">
        <v>55</v>
      </c>
      <c r="K15" s="242" t="s">
        <v>56</v>
      </c>
      <c r="L15" s="242" t="s">
        <v>50</v>
      </c>
      <c r="M15" s="244" t="s">
        <v>32</v>
      </c>
      <c r="N15" s="219" t="s">
        <v>57</v>
      </c>
      <c r="O15" s="211"/>
      <c r="P15" s="239"/>
      <c r="Q15" s="239"/>
      <c r="R15" s="239"/>
      <c r="S15" s="239"/>
      <c r="T15" s="239"/>
      <c r="U15" s="209"/>
      <c r="V15" s="240"/>
      <c r="W15" s="240"/>
      <c r="X15" s="241"/>
      <c r="Y15" s="240"/>
      <c r="Z15" s="240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09"/>
      <c r="BK15" s="209"/>
      <c r="BL15" s="209"/>
      <c r="BM15" s="209"/>
      <c r="BN15" s="209"/>
      <c r="BO15" s="209"/>
      <c r="BP15" s="209"/>
      <c r="BQ15" s="209"/>
      <c r="BR15" s="209"/>
      <c r="BS15" s="209"/>
      <c r="BT15" s="209"/>
      <c r="BU15" s="209"/>
      <c r="BV15" s="209"/>
      <c r="BW15" s="209"/>
      <c r="BX15" s="209"/>
      <c r="BY15" s="209"/>
      <c r="BZ15" s="209"/>
      <c r="CA15" s="209"/>
      <c r="CB15" s="209"/>
      <c r="CC15" s="209"/>
      <c r="CD15" s="209"/>
      <c r="CE15" s="209"/>
      <c r="CF15" s="209"/>
      <c r="CG15" s="209"/>
      <c r="CH15" s="209"/>
      <c r="CI15" s="209"/>
      <c r="CJ15" s="209"/>
      <c r="CK15" s="209"/>
      <c r="CL15" s="209"/>
      <c r="CM15" s="209"/>
      <c r="CN15" s="209"/>
      <c r="CO15" s="209"/>
      <c r="CP15" s="209"/>
      <c r="CQ15" s="209"/>
      <c r="CR15" s="209"/>
      <c r="CS15" s="209"/>
      <c r="CT15" s="209"/>
      <c r="CU15" s="209"/>
    </row>
    <row r="16" spans="1:99" ht="101.25" customHeight="1">
      <c r="A16" s="469"/>
      <c r="B16" s="401"/>
      <c r="C16" s="44" t="s">
        <v>58</v>
      </c>
      <c r="D16" s="45" t="s">
        <v>59</v>
      </c>
      <c r="E16" s="45" t="s">
        <v>60</v>
      </c>
      <c r="F16" s="46" t="s">
        <v>61</v>
      </c>
      <c r="G16" s="47" t="s">
        <v>61</v>
      </c>
      <c r="H16" s="47" t="s">
        <v>61</v>
      </c>
      <c r="I16" s="47" t="s">
        <v>61</v>
      </c>
      <c r="J16" s="48" t="s">
        <v>62</v>
      </c>
      <c r="K16" s="48" t="s">
        <v>63</v>
      </c>
      <c r="L16" s="48" t="s">
        <v>50</v>
      </c>
      <c r="M16" s="48" t="s">
        <v>32</v>
      </c>
      <c r="N16" s="219" t="s">
        <v>64</v>
      </c>
      <c r="O16" s="211"/>
      <c r="P16" s="239"/>
      <c r="Q16" s="239"/>
      <c r="R16" s="239"/>
      <c r="S16" s="239"/>
      <c r="T16" s="239"/>
      <c r="U16" s="209"/>
      <c r="V16" s="240"/>
      <c r="W16" s="240"/>
      <c r="X16" s="241"/>
      <c r="Y16" s="240"/>
      <c r="Z16" s="240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209"/>
      <c r="BG16" s="209"/>
      <c r="BH16" s="209"/>
      <c r="BI16" s="209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09"/>
      <c r="BU16" s="209"/>
      <c r="BV16" s="209"/>
      <c r="BW16" s="209"/>
      <c r="BX16" s="209"/>
      <c r="BY16" s="209"/>
      <c r="BZ16" s="209"/>
      <c r="CA16" s="209"/>
      <c r="CB16" s="209"/>
      <c r="CC16" s="209"/>
      <c r="CD16" s="209"/>
      <c r="CE16" s="209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</row>
    <row r="17" spans="1:99" ht="50.1" customHeight="1">
      <c r="A17" s="469"/>
      <c r="B17" s="404" t="s">
        <v>65</v>
      </c>
      <c r="C17" s="395" t="s">
        <v>66</v>
      </c>
      <c r="D17" s="397" t="s">
        <v>67</v>
      </c>
      <c r="E17" s="397" t="s">
        <v>68</v>
      </c>
      <c r="F17" s="394" t="s">
        <v>69</v>
      </c>
      <c r="G17" s="403" t="s">
        <v>28</v>
      </c>
      <c r="H17" s="393" t="s">
        <v>27</v>
      </c>
      <c r="I17" s="411" t="s">
        <v>27</v>
      </c>
      <c r="J17" s="393" t="s">
        <v>70</v>
      </c>
      <c r="K17" s="393" t="s">
        <v>71</v>
      </c>
      <c r="L17" s="393" t="s">
        <v>50</v>
      </c>
      <c r="M17" s="408" t="s">
        <v>32</v>
      </c>
      <c r="N17" s="384" t="s">
        <v>72</v>
      </c>
      <c r="O17" s="391"/>
      <c r="P17" s="373"/>
      <c r="Q17" s="373"/>
      <c r="R17" s="373"/>
      <c r="S17" s="373"/>
      <c r="T17" s="373"/>
      <c r="U17" s="209"/>
      <c r="V17" s="374"/>
      <c r="W17" s="374"/>
      <c r="X17" s="375"/>
      <c r="Y17" s="374"/>
      <c r="Z17" s="240"/>
      <c r="AA17" s="371"/>
      <c r="AB17" s="371"/>
      <c r="AC17" s="371"/>
      <c r="AD17" s="371"/>
      <c r="AE17" s="371"/>
      <c r="AF17" s="371"/>
      <c r="AG17" s="371"/>
      <c r="AH17" s="371"/>
      <c r="AI17" s="371"/>
      <c r="AJ17" s="371"/>
      <c r="AK17" s="371"/>
      <c r="AL17" s="371"/>
      <c r="AM17" s="371"/>
      <c r="AN17" s="371"/>
      <c r="AO17" s="371"/>
      <c r="AP17" s="371"/>
      <c r="AQ17" s="371"/>
      <c r="AR17" s="371"/>
      <c r="AS17" s="371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09"/>
      <c r="BU17" s="209"/>
      <c r="BV17" s="209"/>
      <c r="BW17" s="209"/>
      <c r="BX17" s="209"/>
      <c r="BY17" s="209"/>
      <c r="BZ17" s="209"/>
      <c r="CA17" s="209"/>
      <c r="CB17" s="209"/>
      <c r="CC17" s="209"/>
      <c r="CD17" s="209"/>
      <c r="CE17" s="209"/>
      <c r="CF17" s="209"/>
      <c r="CG17" s="209"/>
      <c r="CH17" s="209"/>
      <c r="CI17" s="209"/>
      <c r="CJ17" s="209"/>
      <c r="CK17" s="209"/>
      <c r="CL17" s="209"/>
      <c r="CM17" s="209"/>
      <c r="CN17" s="209"/>
      <c r="CO17" s="209"/>
      <c r="CP17" s="209"/>
      <c r="CQ17" s="209"/>
      <c r="CR17" s="209"/>
      <c r="CS17" s="209"/>
      <c r="CT17" s="209"/>
      <c r="CU17" s="209"/>
    </row>
    <row r="18" spans="1:99" ht="50.1" customHeight="1">
      <c r="A18" s="469"/>
      <c r="B18" s="405"/>
      <c r="C18" s="395"/>
      <c r="D18" s="397"/>
      <c r="E18" s="397"/>
      <c r="F18" s="376"/>
      <c r="G18" s="393"/>
      <c r="H18" s="393"/>
      <c r="I18" s="411"/>
      <c r="J18" s="393"/>
      <c r="K18" s="393"/>
      <c r="L18" s="393"/>
      <c r="M18" s="408"/>
      <c r="N18" s="384"/>
      <c r="O18" s="392"/>
      <c r="P18" s="373"/>
      <c r="Q18" s="373"/>
      <c r="R18" s="373"/>
      <c r="S18" s="373"/>
      <c r="T18" s="373"/>
      <c r="U18" s="209"/>
      <c r="V18" s="374"/>
      <c r="W18" s="374"/>
      <c r="X18" s="375"/>
      <c r="Y18" s="374"/>
      <c r="Z18" s="240"/>
      <c r="AA18" s="371"/>
      <c r="AB18" s="371"/>
      <c r="AC18" s="371"/>
      <c r="AD18" s="371"/>
      <c r="AE18" s="371"/>
      <c r="AF18" s="371"/>
      <c r="AG18" s="371"/>
      <c r="AH18" s="371"/>
      <c r="AI18" s="371"/>
      <c r="AJ18" s="371"/>
      <c r="AK18" s="371"/>
      <c r="AL18" s="371"/>
      <c r="AM18" s="371"/>
      <c r="AN18" s="371"/>
      <c r="AO18" s="371"/>
      <c r="AP18" s="371"/>
      <c r="AQ18" s="371"/>
      <c r="AR18" s="371"/>
      <c r="AS18" s="371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  <c r="BF18" s="209"/>
      <c r="BG18" s="209"/>
      <c r="BH18" s="209"/>
      <c r="BI18" s="209"/>
      <c r="BJ18" s="209"/>
      <c r="BK18" s="209"/>
      <c r="BL18" s="209"/>
      <c r="BM18" s="209"/>
      <c r="BN18" s="209"/>
      <c r="BO18" s="209"/>
      <c r="BP18" s="209"/>
      <c r="BQ18" s="209"/>
      <c r="BR18" s="209"/>
      <c r="BS18" s="209"/>
      <c r="BT18" s="209"/>
      <c r="BU18" s="209"/>
      <c r="BV18" s="209"/>
      <c r="BW18" s="209"/>
      <c r="BX18" s="209"/>
      <c r="BY18" s="209"/>
      <c r="BZ18" s="209"/>
      <c r="CA18" s="209"/>
      <c r="CB18" s="209"/>
      <c r="CC18" s="209"/>
      <c r="CD18" s="209"/>
      <c r="CE18" s="209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</row>
    <row r="19" spans="1:99" ht="50.1" customHeight="1">
      <c r="A19" s="469"/>
      <c r="B19" s="405"/>
      <c r="C19" s="396"/>
      <c r="D19" s="398"/>
      <c r="E19" s="398"/>
      <c r="F19" s="376"/>
      <c r="G19" s="393"/>
      <c r="H19" s="394"/>
      <c r="I19" s="412"/>
      <c r="J19" s="394"/>
      <c r="K19" s="394"/>
      <c r="L19" s="394"/>
      <c r="M19" s="378"/>
      <c r="N19" s="384"/>
      <c r="O19" s="392"/>
      <c r="P19" s="373"/>
      <c r="Q19" s="373"/>
      <c r="R19" s="373"/>
      <c r="S19" s="373"/>
      <c r="T19" s="373"/>
      <c r="U19" s="209"/>
      <c r="V19" s="374"/>
      <c r="W19" s="374"/>
      <c r="X19" s="375"/>
      <c r="Y19" s="374"/>
      <c r="Z19" s="240"/>
      <c r="AA19" s="371"/>
      <c r="AB19" s="371"/>
      <c r="AC19" s="371"/>
      <c r="AD19" s="371"/>
      <c r="AE19" s="371"/>
      <c r="AF19" s="371"/>
      <c r="AG19" s="371"/>
      <c r="AH19" s="371"/>
      <c r="AI19" s="371"/>
      <c r="AJ19" s="371"/>
      <c r="AK19" s="371"/>
      <c r="AL19" s="371"/>
      <c r="AM19" s="371"/>
      <c r="AN19" s="371"/>
      <c r="AO19" s="371"/>
      <c r="AP19" s="371"/>
      <c r="AQ19" s="371"/>
      <c r="AR19" s="371"/>
      <c r="AS19" s="371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209"/>
      <c r="BG19" s="209"/>
      <c r="BH19" s="209"/>
      <c r="BI19" s="209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  <c r="BT19" s="209"/>
      <c r="BU19" s="209"/>
      <c r="BV19" s="209"/>
      <c r="BW19" s="209"/>
      <c r="BX19" s="209"/>
      <c r="BY19" s="209"/>
      <c r="BZ19" s="209"/>
      <c r="CA19" s="209"/>
      <c r="CB19" s="209"/>
      <c r="CC19" s="209"/>
      <c r="CD19" s="209"/>
      <c r="CE19" s="209"/>
      <c r="CF19" s="209"/>
      <c r="CG19" s="209"/>
      <c r="CH19" s="209"/>
      <c r="CI19" s="209"/>
      <c r="CJ19" s="209"/>
      <c r="CK19" s="209"/>
      <c r="CL19" s="209"/>
      <c r="CM19" s="209"/>
      <c r="CN19" s="209"/>
      <c r="CO19" s="209"/>
      <c r="CP19" s="209"/>
      <c r="CQ19" s="209"/>
      <c r="CR19" s="209"/>
      <c r="CS19" s="209"/>
      <c r="CT19" s="209"/>
      <c r="CU19" s="209"/>
    </row>
    <row r="20" spans="1:99" ht="50.1" customHeight="1">
      <c r="A20" s="469"/>
      <c r="B20" s="405"/>
      <c r="C20" s="406" t="s">
        <v>73</v>
      </c>
      <c r="D20" s="407" t="s">
        <v>74</v>
      </c>
      <c r="E20" s="407" t="s">
        <v>75</v>
      </c>
      <c r="F20" s="376" t="s">
        <v>69</v>
      </c>
      <c r="G20" s="376" t="s">
        <v>28</v>
      </c>
      <c r="H20" s="402" t="s">
        <v>27</v>
      </c>
      <c r="I20" s="402" t="s">
        <v>27</v>
      </c>
      <c r="J20" s="402" t="s">
        <v>70</v>
      </c>
      <c r="K20" s="402" t="s">
        <v>76</v>
      </c>
      <c r="L20" s="402" t="s">
        <v>50</v>
      </c>
      <c r="M20" s="380" t="s">
        <v>32</v>
      </c>
      <c r="N20" s="384" t="s">
        <v>77</v>
      </c>
      <c r="O20" s="391"/>
      <c r="P20" s="373"/>
      <c r="Q20" s="373"/>
      <c r="R20" s="373"/>
      <c r="S20" s="373"/>
      <c r="T20" s="373"/>
      <c r="U20" s="209"/>
      <c r="V20" s="374"/>
      <c r="W20" s="374"/>
      <c r="X20" s="375"/>
      <c r="Y20" s="374"/>
      <c r="Z20" s="240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  <c r="AK20" s="371"/>
      <c r="AL20" s="371"/>
      <c r="AM20" s="371"/>
      <c r="AN20" s="371"/>
      <c r="AO20" s="371"/>
      <c r="AP20" s="371"/>
      <c r="AQ20" s="371"/>
      <c r="AR20" s="371"/>
      <c r="AS20" s="371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09"/>
      <c r="BG20" s="209"/>
      <c r="BH20" s="209"/>
      <c r="BI20" s="209"/>
      <c r="BJ20" s="209"/>
      <c r="BK20" s="209"/>
      <c r="BL20" s="209"/>
      <c r="BM20" s="209"/>
      <c r="BN20" s="209"/>
      <c r="BO20" s="209"/>
      <c r="BP20" s="209"/>
      <c r="BQ20" s="209"/>
      <c r="BR20" s="209"/>
      <c r="BS20" s="209"/>
      <c r="BT20" s="209"/>
      <c r="BU20" s="209"/>
      <c r="BV20" s="209"/>
      <c r="BW20" s="209"/>
      <c r="BX20" s="209"/>
      <c r="BY20" s="209"/>
      <c r="BZ20" s="209"/>
      <c r="CA20" s="209"/>
      <c r="CB20" s="209"/>
      <c r="CC20" s="209"/>
      <c r="CD20" s="209"/>
      <c r="CE20" s="209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</row>
    <row r="21" spans="1:99" ht="50.1" customHeight="1">
      <c r="A21" s="469"/>
      <c r="B21" s="405"/>
      <c r="C21" s="395"/>
      <c r="D21" s="397"/>
      <c r="E21" s="397"/>
      <c r="F21" s="376"/>
      <c r="G21" s="376"/>
      <c r="H21" s="393"/>
      <c r="I21" s="393"/>
      <c r="J21" s="393"/>
      <c r="K21" s="393"/>
      <c r="L21" s="393"/>
      <c r="M21" s="408"/>
      <c r="N21" s="384"/>
      <c r="O21" s="392"/>
      <c r="P21" s="373"/>
      <c r="Q21" s="373"/>
      <c r="R21" s="373"/>
      <c r="S21" s="373"/>
      <c r="T21" s="373"/>
      <c r="U21" s="209"/>
      <c r="V21" s="374"/>
      <c r="W21" s="374"/>
      <c r="X21" s="375"/>
      <c r="Y21" s="374"/>
      <c r="Z21" s="240"/>
      <c r="AA21" s="371"/>
      <c r="AB21" s="371"/>
      <c r="AC21" s="371"/>
      <c r="AD21" s="371"/>
      <c r="AE21" s="371"/>
      <c r="AF21" s="371"/>
      <c r="AG21" s="371"/>
      <c r="AH21" s="371"/>
      <c r="AI21" s="371"/>
      <c r="AJ21" s="371"/>
      <c r="AK21" s="371"/>
      <c r="AL21" s="371"/>
      <c r="AM21" s="371"/>
      <c r="AN21" s="371"/>
      <c r="AO21" s="371"/>
      <c r="AP21" s="371"/>
      <c r="AQ21" s="371"/>
      <c r="AR21" s="371"/>
      <c r="AS21" s="371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  <c r="BT21" s="209"/>
      <c r="BU21" s="209"/>
      <c r="BV21" s="209"/>
      <c r="BW21" s="209"/>
      <c r="BX21" s="209"/>
      <c r="BY21" s="209"/>
      <c r="BZ21" s="209"/>
      <c r="CA21" s="209"/>
      <c r="CB21" s="209"/>
      <c r="CC21" s="209"/>
      <c r="CD21" s="209"/>
      <c r="CE21" s="209"/>
      <c r="CF21" s="209"/>
      <c r="CG21" s="209"/>
      <c r="CH21" s="209"/>
      <c r="CI21" s="209"/>
      <c r="CJ21" s="209"/>
      <c r="CK21" s="209"/>
      <c r="CL21" s="209"/>
      <c r="CM21" s="209"/>
      <c r="CN21" s="209"/>
      <c r="CO21" s="209"/>
      <c r="CP21" s="209"/>
      <c r="CQ21" s="209"/>
      <c r="CR21" s="209"/>
      <c r="CS21" s="209"/>
      <c r="CT21" s="209"/>
      <c r="CU21" s="209"/>
    </row>
    <row r="22" spans="1:99" ht="50.1" customHeight="1">
      <c r="A22" s="469"/>
      <c r="B22" s="405"/>
      <c r="C22" s="396"/>
      <c r="D22" s="398"/>
      <c r="E22" s="398"/>
      <c r="F22" s="376"/>
      <c r="G22" s="376"/>
      <c r="H22" s="394"/>
      <c r="I22" s="394"/>
      <c r="J22" s="394"/>
      <c r="K22" s="394"/>
      <c r="L22" s="394"/>
      <c r="M22" s="378"/>
      <c r="N22" s="384"/>
      <c r="O22" s="392"/>
      <c r="P22" s="373"/>
      <c r="Q22" s="373"/>
      <c r="R22" s="373"/>
      <c r="S22" s="373"/>
      <c r="T22" s="373"/>
      <c r="U22" s="209"/>
      <c r="V22" s="374"/>
      <c r="W22" s="374"/>
      <c r="X22" s="375"/>
      <c r="Y22" s="374"/>
      <c r="Z22" s="240"/>
      <c r="AA22" s="371"/>
      <c r="AB22" s="371"/>
      <c r="AC22" s="371"/>
      <c r="AD22" s="371"/>
      <c r="AE22" s="371"/>
      <c r="AF22" s="371"/>
      <c r="AG22" s="371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71"/>
      <c r="AS22" s="371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09"/>
      <c r="CC22" s="209"/>
      <c r="CD22" s="209"/>
      <c r="CE22" s="209"/>
      <c r="CF22" s="209"/>
      <c r="CG22" s="209"/>
      <c r="CH22" s="209"/>
      <c r="CI22" s="209"/>
      <c r="CJ22" s="209"/>
      <c r="CK22" s="209"/>
      <c r="CL22" s="209"/>
      <c r="CM22" s="209"/>
      <c r="CN22" s="209"/>
      <c r="CO22" s="209"/>
      <c r="CP22" s="209"/>
      <c r="CQ22" s="209"/>
      <c r="CR22" s="209"/>
      <c r="CS22" s="209"/>
      <c r="CT22" s="209"/>
      <c r="CU22" s="209"/>
    </row>
    <row r="23" spans="1:99" ht="50.1" customHeight="1">
      <c r="A23" s="469"/>
      <c r="B23" s="405"/>
      <c r="C23" s="406" t="s">
        <v>78</v>
      </c>
      <c r="D23" s="407" t="s">
        <v>79</v>
      </c>
      <c r="E23" s="407" t="s">
        <v>80</v>
      </c>
      <c r="F23" s="393" t="s">
        <v>81</v>
      </c>
      <c r="G23" s="393" t="s">
        <v>28</v>
      </c>
      <c r="H23" s="402" t="s">
        <v>27</v>
      </c>
      <c r="I23" s="402" t="s">
        <v>27</v>
      </c>
      <c r="J23" s="402" t="s">
        <v>82</v>
      </c>
      <c r="K23" s="402" t="s">
        <v>83</v>
      </c>
      <c r="L23" s="402" t="s">
        <v>50</v>
      </c>
      <c r="M23" s="380" t="s">
        <v>32</v>
      </c>
      <c r="N23" s="384" t="s">
        <v>84</v>
      </c>
      <c r="O23" s="391"/>
      <c r="P23" s="373"/>
      <c r="Q23" s="373"/>
      <c r="R23" s="373"/>
      <c r="S23" s="373"/>
      <c r="T23" s="373"/>
      <c r="U23" s="209"/>
      <c r="V23" s="374"/>
      <c r="W23" s="374"/>
      <c r="X23" s="375"/>
      <c r="Y23" s="374"/>
      <c r="Z23" s="240"/>
      <c r="AA23" s="371"/>
      <c r="AB23" s="371"/>
      <c r="AC23" s="371"/>
      <c r="AD23" s="371"/>
      <c r="AE23" s="371"/>
      <c r="AF23" s="371"/>
      <c r="AG23" s="371"/>
      <c r="AH23" s="371"/>
      <c r="AI23" s="371"/>
      <c r="AJ23" s="371"/>
      <c r="AK23" s="371"/>
      <c r="AL23" s="371"/>
      <c r="AM23" s="371"/>
      <c r="AN23" s="371"/>
      <c r="AO23" s="371"/>
      <c r="AP23" s="371"/>
      <c r="AQ23" s="371"/>
      <c r="AR23" s="371"/>
      <c r="AS23" s="371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209"/>
      <c r="CA23" s="209"/>
      <c r="CB23" s="209"/>
      <c r="CC23" s="209"/>
      <c r="CD23" s="209"/>
      <c r="CE23" s="209"/>
      <c r="CF23" s="209"/>
      <c r="CG23" s="209"/>
      <c r="CH23" s="209"/>
      <c r="CI23" s="209"/>
      <c r="CJ23" s="209"/>
      <c r="CK23" s="209"/>
      <c r="CL23" s="209"/>
      <c r="CM23" s="209"/>
      <c r="CN23" s="209"/>
      <c r="CO23" s="209"/>
      <c r="CP23" s="209"/>
      <c r="CQ23" s="209"/>
      <c r="CR23" s="209"/>
      <c r="CS23" s="209"/>
      <c r="CT23" s="209"/>
      <c r="CU23" s="209"/>
    </row>
    <row r="24" spans="1:99" ht="50.1" customHeight="1">
      <c r="A24" s="469"/>
      <c r="B24" s="405"/>
      <c r="C24" s="395"/>
      <c r="D24" s="397"/>
      <c r="E24" s="397"/>
      <c r="F24" s="393"/>
      <c r="G24" s="393"/>
      <c r="H24" s="393"/>
      <c r="I24" s="393"/>
      <c r="J24" s="393"/>
      <c r="K24" s="393"/>
      <c r="L24" s="393"/>
      <c r="M24" s="408"/>
      <c r="N24" s="384"/>
      <c r="O24" s="392"/>
      <c r="P24" s="373"/>
      <c r="Q24" s="373"/>
      <c r="R24" s="373"/>
      <c r="S24" s="373"/>
      <c r="T24" s="373"/>
      <c r="U24" s="209"/>
      <c r="V24" s="374"/>
      <c r="W24" s="374"/>
      <c r="X24" s="375"/>
      <c r="Y24" s="374"/>
      <c r="Z24" s="240"/>
      <c r="AA24" s="371"/>
      <c r="AB24" s="371"/>
      <c r="AC24" s="371"/>
      <c r="AD24" s="371"/>
      <c r="AE24" s="371"/>
      <c r="AF24" s="371"/>
      <c r="AG24" s="371"/>
      <c r="AH24" s="371"/>
      <c r="AI24" s="371"/>
      <c r="AJ24" s="371"/>
      <c r="AK24" s="371"/>
      <c r="AL24" s="371"/>
      <c r="AM24" s="371"/>
      <c r="AN24" s="371"/>
      <c r="AO24" s="371"/>
      <c r="AP24" s="371"/>
      <c r="AQ24" s="371"/>
      <c r="AR24" s="371"/>
      <c r="AS24" s="371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9"/>
      <c r="BG24" s="209"/>
      <c r="BH24" s="209"/>
      <c r="BI24" s="209"/>
      <c r="BJ24" s="209"/>
      <c r="BK24" s="209"/>
      <c r="BL24" s="209"/>
      <c r="BM24" s="209"/>
      <c r="BN24" s="209"/>
      <c r="BO24" s="209"/>
      <c r="BP24" s="209"/>
      <c r="BQ24" s="209"/>
      <c r="BR24" s="209"/>
      <c r="BS24" s="209"/>
      <c r="BT24" s="209"/>
      <c r="BU24" s="209"/>
      <c r="BV24" s="209"/>
      <c r="BW24" s="209"/>
      <c r="BX24" s="209"/>
      <c r="BY24" s="209"/>
      <c r="BZ24" s="209"/>
      <c r="CA24" s="209"/>
      <c r="CB24" s="209"/>
      <c r="CC24" s="209"/>
      <c r="CD24" s="209"/>
      <c r="CE24" s="209"/>
      <c r="CF24" s="209"/>
      <c r="CG24" s="209"/>
      <c r="CH24" s="209"/>
      <c r="CI24" s="209"/>
      <c r="CJ24" s="209"/>
      <c r="CK24" s="209"/>
      <c r="CL24" s="209"/>
      <c r="CM24" s="209"/>
      <c r="CN24" s="209"/>
      <c r="CO24" s="209"/>
      <c r="CP24" s="209"/>
      <c r="CQ24" s="209"/>
      <c r="CR24" s="209"/>
      <c r="CS24" s="209"/>
      <c r="CT24" s="209"/>
      <c r="CU24" s="209"/>
    </row>
    <row r="25" spans="1:99" ht="58.5" customHeight="1">
      <c r="A25" s="469"/>
      <c r="B25" s="405"/>
      <c r="C25" s="396"/>
      <c r="D25" s="398"/>
      <c r="E25" s="398"/>
      <c r="F25" s="393"/>
      <c r="G25" s="394"/>
      <c r="H25" s="394"/>
      <c r="I25" s="394"/>
      <c r="J25" s="394"/>
      <c r="K25" s="394"/>
      <c r="L25" s="394"/>
      <c r="M25" s="378"/>
      <c r="N25" s="384"/>
      <c r="O25" s="392"/>
      <c r="P25" s="373"/>
      <c r="Q25" s="373"/>
      <c r="R25" s="373"/>
      <c r="S25" s="373"/>
      <c r="T25" s="373"/>
      <c r="U25" s="209"/>
      <c r="V25" s="374"/>
      <c r="W25" s="374"/>
      <c r="X25" s="375"/>
      <c r="Y25" s="374"/>
      <c r="Z25" s="240"/>
      <c r="AA25" s="371"/>
      <c r="AB25" s="371"/>
      <c r="AC25" s="371"/>
      <c r="AD25" s="371"/>
      <c r="AE25" s="371"/>
      <c r="AF25" s="371"/>
      <c r="AG25" s="371"/>
      <c r="AH25" s="371"/>
      <c r="AI25" s="371"/>
      <c r="AJ25" s="371"/>
      <c r="AK25" s="371"/>
      <c r="AL25" s="371"/>
      <c r="AM25" s="371"/>
      <c r="AN25" s="371"/>
      <c r="AO25" s="371"/>
      <c r="AP25" s="371"/>
      <c r="AQ25" s="371"/>
      <c r="AR25" s="371"/>
      <c r="AS25" s="371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209"/>
      <c r="BI25" s="209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  <c r="BT25" s="209"/>
      <c r="BU25" s="209"/>
      <c r="BV25" s="209"/>
      <c r="BW25" s="209"/>
      <c r="BX25" s="209"/>
      <c r="BY25" s="209"/>
      <c r="BZ25" s="209"/>
      <c r="CA25" s="209"/>
      <c r="CB25" s="209"/>
      <c r="CC25" s="209"/>
      <c r="CD25" s="209"/>
      <c r="CE25" s="209"/>
      <c r="CF25" s="209"/>
      <c r="CG25" s="209"/>
      <c r="CH25" s="209"/>
      <c r="CI25" s="209"/>
      <c r="CJ25" s="209"/>
      <c r="CK25" s="209"/>
      <c r="CL25" s="209"/>
      <c r="CM25" s="209"/>
      <c r="CN25" s="209"/>
      <c r="CO25" s="209"/>
      <c r="CP25" s="209"/>
      <c r="CQ25" s="209"/>
      <c r="CR25" s="209"/>
      <c r="CS25" s="209"/>
      <c r="CT25" s="209"/>
      <c r="CU25" s="209"/>
    </row>
    <row r="26" spans="1:99" ht="50.1" customHeight="1">
      <c r="A26" s="469"/>
      <c r="B26" s="405"/>
      <c r="C26" s="424" t="s">
        <v>51</v>
      </c>
      <c r="D26" s="407" t="s">
        <v>85</v>
      </c>
      <c r="E26" s="407" t="s">
        <v>86</v>
      </c>
      <c r="F26" s="402" t="s">
        <v>27</v>
      </c>
      <c r="G26" s="402" t="s">
        <v>87</v>
      </c>
      <c r="H26" s="402" t="s">
        <v>27</v>
      </c>
      <c r="I26" s="402" t="s">
        <v>27</v>
      </c>
      <c r="J26" s="402" t="s">
        <v>88</v>
      </c>
      <c r="K26" s="402" t="s">
        <v>89</v>
      </c>
      <c r="L26" s="402" t="s">
        <v>50</v>
      </c>
      <c r="M26" s="380" t="s">
        <v>32</v>
      </c>
      <c r="N26" s="384" t="s">
        <v>90</v>
      </c>
      <c r="O26" s="391"/>
      <c r="P26" s="373"/>
      <c r="Q26" s="373"/>
      <c r="R26" s="373"/>
      <c r="S26" s="373"/>
      <c r="T26" s="373"/>
      <c r="U26" s="209"/>
      <c r="V26" s="374"/>
      <c r="W26" s="374"/>
      <c r="X26" s="375"/>
      <c r="Y26" s="374"/>
      <c r="Z26" s="240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  <c r="AL26" s="478"/>
      <c r="AM26" s="478"/>
      <c r="AN26" s="478"/>
      <c r="AO26" s="478"/>
      <c r="AP26" s="478"/>
      <c r="AQ26" s="478"/>
      <c r="AR26" s="478"/>
      <c r="AS26" s="478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09"/>
      <c r="BF26" s="209"/>
      <c r="BG26" s="209"/>
      <c r="BH26" s="209"/>
      <c r="BI26" s="209"/>
      <c r="BJ26" s="209"/>
      <c r="BK26" s="209"/>
      <c r="BL26" s="209"/>
      <c r="BM26" s="209"/>
      <c r="BN26" s="209"/>
      <c r="BO26" s="209"/>
      <c r="BP26" s="209"/>
      <c r="BQ26" s="209"/>
      <c r="BR26" s="209"/>
      <c r="BS26" s="209"/>
      <c r="BT26" s="209"/>
      <c r="BU26" s="209"/>
      <c r="BV26" s="209"/>
      <c r="BW26" s="209"/>
      <c r="BX26" s="209"/>
      <c r="BY26" s="209"/>
      <c r="BZ26" s="209"/>
      <c r="CA26" s="209"/>
      <c r="CB26" s="209"/>
      <c r="CC26" s="209"/>
      <c r="CD26" s="209"/>
      <c r="CE26" s="209"/>
      <c r="CF26" s="209"/>
      <c r="CG26" s="209"/>
      <c r="CH26" s="209"/>
      <c r="CI26" s="209"/>
      <c r="CJ26" s="209"/>
      <c r="CK26" s="209"/>
      <c r="CL26" s="209"/>
      <c r="CM26" s="209"/>
      <c r="CN26" s="209"/>
      <c r="CO26" s="209"/>
      <c r="CP26" s="209"/>
      <c r="CQ26" s="209"/>
      <c r="CR26" s="209"/>
      <c r="CS26" s="209"/>
      <c r="CT26" s="209"/>
      <c r="CU26" s="209"/>
    </row>
    <row r="27" spans="1:99" ht="66" customHeight="1">
      <c r="A27" s="469"/>
      <c r="B27" s="405"/>
      <c r="C27" s="406"/>
      <c r="D27" s="397"/>
      <c r="E27" s="397"/>
      <c r="F27" s="393"/>
      <c r="G27" s="393"/>
      <c r="H27" s="393"/>
      <c r="I27" s="393"/>
      <c r="J27" s="393"/>
      <c r="K27" s="393"/>
      <c r="L27" s="393"/>
      <c r="M27" s="408"/>
      <c r="N27" s="384"/>
      <c r="O27" s="392"/>
      <c r="P27" s="373"/>
      <c r="Q27" s="373"/>
      <c r="R27" s="373"/>
      <c r="S27" s="373"/>
      <c r="T27" s="373"/>
      <c r="U27" s="209"/>
      <c r="V27" s="374"/>
      <c r="W27" s="374"/>
      <c r="X27" s="375"/>
      <c r="Y27" s="374"/>
      <c r="Z27" s="240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  <c r="AL27" s="478"/>
      <c r="AM27" s="478"/>
      <c r="AN27" s="478"/>
      <c r="AO27" s="478"/>
      <c r="AP27" s="478"/>
      <c r="AQ27" s="478"/>
      <c r="AR27" s="478"/>
      <c r="AS27" s="478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09"/>
      <c r="BG27" s="209"/>
      <c r="BH27" s="209"/>
      <c r="BI27" s="209"/>
      <c r="BJ27" s="209"/>
      <c r="BK27" s="209"/>
      <c r="BL27" s="209"/>
      <c r="BM27" s="209"/>
      <c r="BN27" s="209"/>
      <c r="BO27" s="209"/>
      <c r="BP27" s="209"/>
      <c r="BQ27" s="209"/>
      <c r="BR27" s="209"/>
      <c r="BS27" s="209"/>
      <c r="BT27" s="209"/>
      <c r="BU27" s="209"/>
      <c r="BV27" s="209"/>
      <c r="BW27" s="209"/>
      <c r="BX27" s="209"/>
      <c r="BY27" s="209"/>
      <c r="BZ27" s="209"/>
      <c r="CA27" s="209"/>
      <c r="CB27" s="209"/>
      <c r="CC27" s="209"/>
      <c r="CD27" s="209"/>
      <c r="CE27" s="209"/>
      <c r="CF27" s="209"/>
      <c r="CG27" s="209"/>
      <c r="CH27" s="209"/>
      <c r="CI27" s="209"/>
      <c r="CJ27" s="209"/>
      <c r="CK27" s="209"/>
      <c r="CL27" s="209"/>
      <c r="CM27" s="209"/>
      <c r="CN27" s="209"/>
      <c r="CO27" s="209"/>
      <c r="CP27" s="209"/>
      <c r="CQ27" s="209"/>
      <c r="CR27" s="209"/>
      <c r="CS27" s="209"/>
      <c r="CT27" s="209"/>
      <c r="CU27" s="209"/>
    </row>
    <row r="28" spans="1:99" ht="96.75" customHeight="1">
      <c r="A28" s="469"/>
      <c r="B28" s="405"/>
      <c r="C28" s="49" t="s">
        <v>58</v>
      </c>
      <c r="D28" s="50" t="s">
        <v>91</v>
      </c>
      <c r="E28" s="50" t="s">
        <v>60</v>
      </c>
      <c r="F28" s="46" t="s">
        <v>61</v>
      </c>
      <c r="G28" s="46" t="s">
        <v>61</v>
      </c>
      <c r="H28" s="46" t="s">
        <v>61</v>
      </c>
      <c r="I28" s="46" t="s">
        <v>61</v>
      </c>
      <c r="J28" s="46" t="s">
        <v>92</v>
      </c>
      <c r="K28" s="46" t="s">
        <v>93</v>
      </c>
      <c r="L28" s="46" t="s">
        <v>50</v>
      </c>
      <c r="M28" s="51" t="s">
        <v>32</v>
      </c>
      <c r="N28" s="247" t="s">
        <v>90</v>
      </c>
      <c r="O28" s="214"/>
      <c r="P28" s="239"/>
      <c r="Q28" s="239"/>
      <c r="R28" s="239"/>
      <c r="S28" s="239"/>
      <c r="T28" s="239"/>
      <c r="U28" s="209"/>
      <c r="V28" s="240"/>
      <c r="W28" s="240"/>
      <c r="X28" s="241"/>
      <c r="Y28" s="240"/>
      <c r="Z28" s="240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09"/>
      <c r="BG28" s="209"/>
      <c r="BH28" s="209"/>
      <c r="BI28" s="209"/>
      <c r="BJ28" s="209"/>
      <c r="BK28" s="209"/>
      <c r="BL28" s="209"/>
      <c r="BM28" s="209"/>
      <c r="BN28" s="209"/>
      <c r="BO28" s="209"/>
      <c r="BP28" s="209"/>
      <c r="BQ28" s="209"/>
      <c r="BR28" s="209"/>
      <c r="BS28" s="209"/>
      <c r="BT28" s="209"/>
      <c r="BU28" s="209"/>
      <c r="BV28" s="209"/>
      <c r="BW28" s="209"/>
      <c r="BX28" s="209"/>
      <c r="BY28" s="209"/>
      <c r="BZ28" s="209"/>
      <c r="CA28" s="209"/>
      <c r="CB28" s="209"/>
      <c r="CC28" s="209"/>
      <c r="CD28" s="209"/>
      <c r="CE28" s="209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209"/>
      <c r="CT28" s="209"/>
      <c r="CU28" s="209"/>
    </row>
    <row r="29" spans="1:99" ht="50.1" customHeight="1">
      <c r="A29" s="469"/>
      <c r="B29" s="404" t="s">
        <v>94</v>
      </c>
      <c r="C29" s="395" t="s">
        <v>95</v>
      </c>
      <c r="D29" s="397" t="s">
        <v>96</v>
      </c>
      <c r="E29" s="397" t="s">
        <v>97</v>
      </c>
      <c r="F29" s="397" t="s">
        <v>98</v>
      </c>
      <c r="G29" s="397" t="s">
        <v>87</v>
      </c>
      <c r="H29" s="393" t="s">
        <v>99</v>
      </c>
      <c r="I29" s="393" t="s">
        <v>27</v>
      </c>
      <c r="J29" s="393" t="s">
        <v>100</v>
      </c>
      <c r="K29" s="393" t="s">
        <v>101</v>
      </c>
      <c r="L29" s="393" t="s">
        <v>102</v>
      </c>
      <c r="M29" s="408" t="s">
        <v>103</v>
      </c>
      <c r="N29" s="384" t="s">
        <v>104</v>
      </c>
      <c r="O29" s="373"/>
      <c r="P29" s="373"/>
      <c r="Q29" s="373"/>
      <c r="R29" s="373"/>
      <c r="S29" s="373"/>
      <c r="T29" s="373"/>
      <c r="U29" s="209"/>
      <c r="V29" s="374"/>
      <c r="W29" s="374"/>
      <c r="X29" s="375"/>
      <c r="Y29" s="374"/>
      <c r="Z29" s="240"/>
      <c r="AA29" s="371"/>
      <c r="AB29" s="371"/>
      <c r="AC29" s="371"/>
      <c r="AD29" s="371"/>
      <c r="AE29" s="371"/>
      <c r="AF29" s="371"/>
      <c r="AG29" s="371"/>
      <c r="AH29" s="371"/>
      <c r="AI29" s="371"/>
      <c r="AJ29" s="371"/>
      <c r="AK29" s="371"/>
      <c r="AL29" s="371"/>
      <c r="AM29" s="371"/>
      <c r="AN29" s="371"/>
      <c r="AO29" s="371"/>
      <c r="AP29" s="371"/>
      <c r="AQ29" s="371"/>
      <c r="AR29" s="371"/>
      <c r="AS29" s="371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  <c r="BO29" s="209"/>
      <c r="BP29" s="209"/>
      <c r="BQ29" s="209"/>
      <c r="BR29" s="209"/>
      <c r="BS29" s="209"/>
      <c r="BT29" s="209"/>
      <c r="BU29" s="209"/>
      <c r="BV29" s="209"/>
      <c r="BW29" s="209"/>
      <c r="BX29" s="209"/>
      <c r="BY29" s="209"/>
      <c r="BZ29" s="209"/>
      <c r="CA29" s="209"/>
      <c r="CB29" s="209"/>
      <c r="CC29" s="209"/>
      <c r="CD29" s="209"/>
      <c r="CE29" s="209"/>
      <c r="CF29" s="209"/>
      <c r="CG29" s="209"/>
      <c r="CH29" s="209"/>
      <c r="CI29" s="209"/>
      <c r="CJ29" s="209"/>
      <c r="CK29" s="209"/>
      <c r="CL29" s="209"/>
      <c r="CM29" s="209"/>
      <c r="CN29" s="209"/>
      <c r="CO29" s="209"/>
      <c r="CP29" s="209"/>
      <c r="CQ29" s="209"/>
      <c r="CR29" s="209"/>
      <c r="CS29" s="209"/>
      <c r="CT29" s="209"/>
      <c r="CU29" s="209"/>
    </row>
    <row r="30" spans="1:99" ht="78" customHeight="1">
      <c r="A30" s="469"/>
      <c r="B30" s="405"/>
      <c r="C30" s="395"/>
      <c r="D30" s="397"/>
      <c r="E30" s="397"/>
      <c r="F30" s="397"/>
      <c r="G30" s="397"/>
      <c r="H30" s="393"/>
      <c r="I30" s="393"/>
      <c r="J30" s="393"/>
      <c r="K30" s="393"/>
      <c r="L30" s="393"/>
      <c r="M30" s="408"/>
      <c r="N30" s="384"/>
      <c r="O30" s="373"/>
      <c r="P30" s="373"/>
      <c r="Q30" s="373"/>
      <c r="R30" s="373"/>
      <c r="S30" s="373"/>
      <c r="T30" s="373"/>
      <c r="U30" s="209"/>
      <c r="V30" s="374"/>
      <c r="W30" s="374"/>
      <c r="X30" s="375"/>
      <c r="Y30" s="374"/>
      <c r="Z30" s="240"/>
      <c r="AA30" s="371"/>
      <c r="AB30" s="371"/>
      <c r="AC30" s="371"/>
      <c r="AD30" s="371"/>
      <c r="AE30" s="371"/>
      <c r="AF30" s="371"/>
      <c r="AG30" s="371"/>
      <c r="AH30" s="371"/>
      <c r="AI30" s="371"/>
      <c r="AJ30" s="371"/>
      <c r="AK30" s="371"/>
      <c r="AL30" s="371"/>
      <c r="AM30" s="371"/>
      <c r="AN30" s="371"/>
      <c r="AO30" s="371"/>
      <c r="AP30" s="371"/>
      <c r="AQ30" s="371"/>
      <c r="AR30" s="371"/>
      <c r="AS30" s="371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9"/>
      <c r="BR30" s="209"/>
      <c r="BS30" s="209"/>
      <c r="BT30" s="209"/>
      <c r="BU30" s="209"/>
      <c r="BV30" s="209"/>
      <c r="BW30" s="209"/>
      <c r="BX30" s="209"/>
      <c r="BY30" s="209"/>
      <c r="BZ30" s="209"/>
      <c r="CA30" s="209"/>
      <c r="CB30" s="209"/>
      <c r="CC30" s="209"/>
      <c r="CD30" s="209"/>
      <c r="CE30" s="209"/>
      <c r="CF30" s="209"/>
      <c r="CG30" s="209"/>
      <c r="CH30" s="209"/>
      <c r="CI30" s="209"/>
      <c r="CJ30" s="209"/>
      <c r="CK30" s="209"/>
      <c r="CL30" s="209"/>
      <c r="CM30" s="209"/>
      <c r="CN30" s="209"/>
      <c r="CO30" s="209"/>
      <c r="CP30" s="209"/>
      <c r="CQ30" s="209"/>
      <c r="CR30" s="209"/>
      <c r="CS30" s="209"/>
      <c r="CT30" s="209"/>
      <c r="CU30" s="209"/>
    </row>
    <row r="31" spans="1:99" ht="22.5" customHeight="1">
      <c r="A31" s="469"/>
      <c r="B31" s="405"/>
      <c r="C31" s="396"/>
      <c r="D31" s="398"/>
      <c r="E31" s="398"/>
      <c r="F31" s="398"/>
      <c r="G31" s="398"/>
      <c r="H31" s="394"/>
      <c r="I31" s="394"/>
      <c r="J31" s="394"/>
      <c r="K31" s="394"/>
      <c r="L31" s="394"/>
      <c r="M31" s="378"/>
      <c r="N31" s="384"/>
      <c r="O31" s="373"/>
      <c r="P31" s="373"/>
      <c r="Q31" s="373"/>
      <c r="R31" s="373"/>
      <c r="S31" s="373"/>
      <c r="T31" s="373"/>
      <c r="U31" s="209"/>
      <c r="V31" s="374"/>
      <c r="W31" s="374"/>
      <c r="X31" s="375"/>
      <c r="Y31" s="374"/>
      <c r="Z31" s="240"/>
      <c r="AA31" s="371"/>
      <c r="AB31" s="371"/>
      <c r="AC31" s="371"/>
      <c r="AD31" s="371"/>
      <c r="AE31" s="371"/>
      <c r="AF31" s="371"/>
      <c r="AG31" s="371"/>
      <c r="AH31" s="371"/>
      <c r="AI31" s="371"/>
      <c r="AJ31" s="371"/>
      <c r="AK31" s="371"/>
      <c r="AL31" s="371"/>
      <c r="AM31" s="371"/>
      <c r="AN31" s="371"/>
      <c r="AO31" s="371"/>
      <c r="AP31" s="371"/>
      <c r="AQ31" s="371"/>
      <c r="AR31" s="371"/>
      <c r="AS31" s="371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09"/>
      <c r="BF31" s="209"/>
      <c r="BG31" s="209"/>
      <c r="BH31" s="209"/>
      <c r="BI31" s="209"/>
      <c r="BJ31" s="209"/>
      <c r="BK31" s="209"/>
      <c r="BL31" s="209"/>
      <c r="BM31" s="209"/>
      <c r="BN31" s="209"/>
      <c r="BO31" s="209"/>
      <c r="BP31" s="209"/>
      <c r="BQ31" s="209"/>
      <c r="BR31" s="209"/>
      <c r="BS31" s="209"/>
      <c r="BT31" s="209"/>
      <c r="BU31" s="209"/>
      <c r="BV31" s="209"/>
      <c r="BW31" s="209"/>
      <c r="BX31" s="209"/>
      <c r="BY31" s="209"/>
      <c r="BZ31" s="209"/>
      <c r="CA31" s="209"/>
      <c r="CB31" s="209"/>
      <c r="CC31" s="209"/>
      <c r="CD31" s="209"/>
      <c r="CE31" s="209"/>
      <c r="CF31" s="209"/>
      <c r="CG31" s="209"/>
      <c r="CH31" s="209"/>
      <c r="CI31" s="209"/>
      <c r="CJ31" s="209"/>
      <c r="CK31" s="209"/>
      <c r="CL31" s="209"/>
      <c r="CM31" s="209"/>
      <c r="CN31" s="209"/>
      <c r="CO31" s="209"/>
      <c r="CP31" s="209"/>
      <c r="CQ31" s="209"/>
      <c r="CR31" s="209"/>
      <c r="CS31" s="209"/>
      <c r="CT31" s="209"/>
      <c r="CU31" s="209"/>
    </row>
    <row r="32" spans="1:99" ht="50.1" customHeight="1">
      <c r="A32" s="469"/>
      <c r="B32" s="405"/>
      <c r="C32" s="406" t="s">
        <v>105</v>
      </c>
      <c r="D32" s="407" t="s">
        <v>106</v>
      </c>
      <c r="E32" s="413" t="s">
        <v>107</v>
      </c>
      <c r="F32" s="407" t="s">
        <v>98</v>
      </c>
      <c r="G32" s="402" t="s">
        <v>87</v>
      </c>
      <c r="H32" s="402" t="s">
        <v>27</v>
      </c>
      <c r="I32" s="402" t="s">
        <v>27</v>
      </c>
      <c r="J32" s="402" t="s">
        <v>108</v>
      </c>
      <c r="K32" s="402" t="s">
        <v>109</v>
      </c>
      <c r="L32" s="402" t="s">
        <v>102</v>
      </c>
      <c r="M32" s="380" t="s">
        <v>103</v>
      </c>
      <c r="N32" s="384" t="s">
        <v>110</v>
      </c>
      <c r="O32" s="373"/>
      <c r="P32" s="373"/>
      <c r="Q32" s="373"/>
      <c r="R32" s="373"/>
      <c r="S32" s="373"/>
      <c r="T32" s="373"/>
      <c r="U32" s="209"/>
      <c r="V32" s="374"/>
      <c r="W32" s="374"/>
      <c r="X32" s="375"/>
      <c r="Y32" s="374"/>
      <c r="Z32" s="240"/>
      <c r="AA32" s="371"/>
      <c r="AB32" s="371"/>
      <c r="AC32" s="371"/>
      <c r="AD32" s="371"/>
      <c r="AE32" s="371"/>
      <c r="AF32" s="371"/>
      <c r="AG32" s="371"/>
      <c r="AH32" s="371"/>
      <c r="AI32" s="371"/>
      <c r="AJ32" s="371"/>
      <c r="AK32" s="371"/>
      <c r="AL32" s="371"/>
      <c r="AM32" s="371"/>
      <c r="AN32" s="371"/>
      <c r="AO32" s="371"/>
      <c r="AP32" s="371"/>
      <c r="AQ32" s="371"/>
      <c r="AR32" s="371"/>
      <c r="AS32" s="371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/>
      <c r="BJ32" s="209"/>
      <c r="BK32" s="209"/>
      <c r="BL32" s="209"/>
      <c r="BM32" s="209"/>
      <c r="BN32" s="209"/>
      <c r="BO32" s="209"/>
      <c r="BP32" s="209"/>
      <c r="BQ32" s="209"/>
      <c r="BR32" s="209"/>
      <c r="BS32" s="209"/>
      <c r="BT32" s="209"/>
      <c r="BU32" s="209"/>
      <c r="BV32" s="209"/>
      <c r="BW32" s="209"/>
      <c r="BX32" s="209"/>
      <c r="BY32" s="209"/>
      <c r="BZ32" s="209"/>
      <c r="CA32" s="209"/>
      <c r="CB32" s="209"/>
      <c r="CC32" s="209"/>
      <c r="CD32" s="209"/>
      <c r="CE32" s="209"/>
      <c r="CF32" s="209"/>
      <c r="CG32" s="209"/>
      <c r="CH32" s="209"/>
      <c r="CI32" s="209"/>
      <c r="CJ32" s="209"/>
      <c r="CK32" s="209"/>
      <c r="CL32" s="209"/>
      <c r="CM32" s="209"/>
      <c r="CN32" s="209"/>
      <c r="CO32" s="209"/>
      <c r="CP32" s="209"/>
      <c r="CQ32" s="209"/>
      <c r="CR32" s="209"/>
      <c r="CS32" s="209"/>
      <c r="CT32" s="209"/>
      <c r="CU32" s="209"/>
    </row>
    <row r="33" spans="1:99" ht="144.75" customHeight="1">
      <c r="A33" s="469"/>
      <c r="B33" s="405"/>
      <c r="C33" s="396"/>
      <c r="D33" s="398"/>
      <c r="E33" s="414"/>
      <c r="F33" s="398"/>
      <c r="G33" s="393"/>
      <c r="H33" s="394"/>
      <c r="I33" s="394"/>
      <c r="J33" s="394"/>
      <c r="K33" s="394"/>
      <c r="L33" s="394"/>
      <c r="M33" s="378"/>
      <c r="N33" s="384"/>
      <c r="O33" s="373"/>
      <c r="P33" s="373"/>
      <c r="Q33" s="373"/>
      <c r="R33" s="373"/>
      <c r="S33" s="373"/>
      <c r="T33" s="373"/>
      <c r="U33" s="209"/>
      <c r="V33" s="374"/>
      <c r="W33" s="374"/>
      <c r="X33" s="375"/>
      <c r="Y33" s="374"/>
      <c r="Z33" s="240"/>
      <c r="AA33" s="371"/>
      <c r="AB33" s="371"/>
      <c r="AC33" s="371"/>
      <c r="AD33" s="371"/>
      <c r="AE33" s="371"/>
      <c r="AF33" s="371"/>
      <c r="AG33" s="371"/>
      <c r="AH33" s="371"/>
      <c r="AI33" s="371"/>
      <c r="AJ33" s="371"/>
      <c r="AK33" s="371"/>
      <c r="AL33" s="371"/>
      <c r="AM33" s="371"/>
      <c r="AN33" s="371"/>
      <c r="AO33" s="371"/>
      <c r="AP33" s="371"/>
      <c r="AQ33" s="371"/>
      <c r="AR33" s="371"/>
      <c r="AS33" s="371"/>
      <c r="AT33" s="209"/>
      <c r="AU33" s="209"/>
      <c r="AV33" s="209"/>
      <c r="AW33" s="209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  <c r="BP33" s="209"/>
      <c r="BQ33" s="209"/>
      <c r="BR33" s="209"/>
      <c r="BS33" s="209"/>
      <c r="BT33" s="209"/>
      <c r="BU33" s="209"/>
      <c r="BV33" s="209"/>
      <c r="BW33" s="209"/>
      <c r="BX33" s="209"/>
      <c r="BY33" s="209"/>
      <c r="BZ33" s="209"/>
      <c r="CA33" s="209"/>
      <c r="CB33" s="209"/>
      <c r="CC33" s="209"/>
      <c r="CD33" s="209"/>
      <c r="CE33" s="209"/>
      <c r="CF33" s="209"/>
      <c r="CG33" s="209"/>
      <c r="CH33" s="209"/>
      <c r="CI33" s="209"/>
      <c r="CJ33" s="209"/>
      <c r="CK33" s="209"/>
      <c r="CL33" s="209"/>
      <c r="CM33" s="209"/>
      <c r="CN33" s="209"/>
      <c r="CO33" s="209"/>
      <c r="CP33" s="209"/>
      <c r="CQ33" s="209"/>
      <c r="CR33" s="209"/>
      <c r="CS33" s="209"/>
      <c r="CT33" s="209"/>
      <c r="CU33" s="209"/>
    </row>
    <row r="34" spans="1:99" ht="50.1" customHeight="1">
      <c r="A34" s="469"/>
      <c r="B34" s="405"/>
      <c r="C34" s="406" t="s">
        <v>111</v>
      </c>
      <c r="D34" s="407" t="s">
        <v>112</v>
      </c>
      <c r="E34" s="413" t="s">
        <v>113</v>
      </c>
      <c r="F34" s="407" t="s">
        <v>98</v>
      </c>
      <c r="G34" s="402" t="s">
        <v>87</v>
      </c>
      <c r="H34" s="402" t="s">
        <v>27</v>
      </c>
      <c r="I34" s="402" t="s">
        <v>27</v>
      </c>
      <c r="J34" s="402" t="s">
        <v>114</v>
      </c>
      <c r="K34" s="402" t="s">
        <v>76</v>
      </c>
      <c r="L34" s="402" t="s">
        <v>102</v>
      </c>
      <c r="M34" s="380" t="s">
        <v>103</v>
      </c>
      <c r="N34" s="384" t="s">
        <v>115</v>
      </c>
      <c r="O34" s="373"/>
      <c r="P34" s="373"/>
      <c r="Q34" s="373"/>
      <c r="R34" s="373"/>
      <c r="S34" s="373"/>
      <c r="T34" s="373"/>
      <c r="U34" s="209"/>
      <c r="V34" s="374"/>
      <c r="W34" s="374"/>
      <c r="X34" s="375"/>
      <c r="Y34" s="374"/>
      <c r="Z34" s="240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  <c r="AK34" s="371"/>
      <c r="AL34" s="371"/>
      <c r="AM34" s="371"/>
      <c r="AN34" s="371"/>
      <c r="AO34" s="371"/>
      <c r="AP34" s="371"/>
      <c r="AQ34" s="371"/>
      <c r="AR34" s="371"/>
      <c r="AS34" s="371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  <c r="BP34" s="209"/>
      <c r="BQ34" s="209"/>
      <c r="BR34" s="209"/>
      <c r="BS34" s="209"/>
      <c r="BT34" s="209"/>
      <c r="BU34" s="209"/>
      <c r="BV34" s="209"/>
      <c r="BW34" s="209"/>
      <c r="BX34" s="209"/>
      <c r="BY34" s="209"/>
      <c r="BZ34" s="209"/>
      <c r="CA34" s="209"/>
      <c r="CB34" s="209"/>
      <c r="CC34" s="209"/>
      <c r="CD34" s="209"/>
      <c r="CE34" s="209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09"/>
      <c r="CS34" s="209"/>
      <c r="CT34" s="209"/>
      <c r="CU34" s="209"/>
    </row>
    <row r="35" spans="1:99" ht="153" customHeight="1">
      <c r="A35" s="469"/>
      <c r="B35" s="405"/>
      <c r="C35" s="396"/>
      <c r="D35" s="398"/>
      <c r="E35" s="414"/>
      <c r="F35" s="398"/>
      <c r="G35" s="393"/>
      <c r="H35" s="394"/>
      <c r="I35" s="394"/>
      <c r="J35" s="394"/>
      <c r="K35" s="394"/>
      <c r="L35" s="394"/>
      <c r="M35" s="378"/>
      <c r="N35" s="384"/>
      <c r="O35" s="373"/>
      <c r="P35" s="373"/>
      <c r="Q35" s="373"/>
      <c r="R35" s="373"/>
      <c r="S35" s="373"/>
      <c r="T35" s="373"/>
      <c r="U35" s="209"/>
      <c r="V35" s="374"/>
      <c r="W35" s="374"/>
      <c r="X35" s="375"/>
      <c r="Y35" s="374"/>
      <c r="Z35" s="240"/>
      <c r="AA35" s="371"/>
      <c r="AB35" s="371"/>
      <c r="AC35" s="371"/>
      <c r="AD35" s="371"/>
      <c r="AE35" s="371"/>
      <c r="AF35" s="371"/>
      <c r="AG35" s="371"/>
      <c r="AH35" s="371"/>
      <c r="AI35" s="371"/>
      <c r="AJ35" s="371"/>
      <c r="AK35" s="371"/>
      <c r="AL35" s="371"/>
      <c r="AM35" s="371"/>
      <c r="AN35" s="371"/>
      <c r="AO35" s="371"/>
      <c r="AP35" s="371"/>
      <c r="AQ35" s="371"/>
      <c r="AR35" s="371"/>
      <c r="AS35" s="371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09"/>
      <c r="BM35" s="209"/>
      <c r="BN35" s="209"/>
      <c r="BO35" s="209"/>
      <c r="BP35" s="209"/>
      <c r="BQ35" s="209"/>
      <c r="BR35" s="209"/>
      <c r="BS35" s="209"/>
      <c r="BT35" s="209"/>
      <c r="BU35" s="209"/>
      <c r="BV35" s="209"/>
      <c r="BW35" s="209"/>
      <c r="BX35" s="209"/>
      <c r="BY35" s="209"/>
      <c r="BZ35" s="209"/>
      <c r="CA35" s="209"/>
      <c r="CB35" s="209"/>
      <c r="CC35" s="209"/>
      <c r="CD35" s="209"/>
      <c r="CE35" s="209"/>
      <c r="CF35" s="209"/>
      <c r="CG35" s="209"/>
      <c r="CH35" s="209"/>
      <c r="CI35" s="209"/>
      <c r="CJ35" s="209"/>
      <c r="CK35" s="209"/>
      <c r="CL35" s="209"/>
      <c r="CM35" s="209"/>
      <c r="CN35" s="209"/>
      <c r="CO35" s="209"/>
      <c r="CP35" s="209"/>
      <c r="CQ35" s="209"/>
      <c r="CR35" s="209"/>
      <c r="CS35" s="209"/>
      <c r="CT35" s="209"/>
      <c r="CU35" s="209"/>
    </row>
    <row r="36" spans="1:99" ht="112.5" customHeight="1">
      <c r="A36" s="469"/>
      <c r="B36" s="405"/>
      <c r="C36" s="259" t="s">
        <v>116</v>
      </c>
      <c r="D36" s="248" t="s">
        <v>85</v>
      </c>
      <c r="E36" s="248" t="s">
        <v>86</v>
      </c>
      <c r="F36" s="248" t="s">
        <v>98</v>
      </c>
      <c r="G36" s="248" t="s">
        <v>117</v>
      </c>
      <c r="H36" s="242" t="s">
        <v>27</v>
      </c>
      <c r="I36" s="242" t="s">
        <v>27</v>
      </c>
      <c r="J36" s="242" t="s">
        <v>88</v>
      </c>
      <c r="K36" s="242" t="s">
        <v>118</v>
      </c>
      <c r="L36" s="242" t="s">
        <v>102</v>
      </c>
      <c r="M36" s="244" t="s">
        <v>103</v>
      </c>
      <c r="N36" s="247" t="s">
        <v>90</v>
      </c>
      <c r="O36" s="239"/>
      <c r="P36" s="239"/>
      <c r="Q36" s="239"/>
      <c r="R36" s="239"/>
      <c r="S36" s="239"/>
      <c r="T36" s="239"/>
      <c r="U36" s="209"/>
      <c r="V36" s="240"/>
      <c r="W36" s="240"/>
      <c r="X36" s="241"/>
      <c r="Y36" s="240"/>
      <c r="Z36" s="240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  <c r="BP36" s="209"/>
      <c r="BQ36" s="209"/>
      <c r="BR36" s="209"/>
      <c r="BS36" s="209"/>
      <c r="BT36" s="209"/>
      <c r="BU36" s="209"/>
      <c r="BV36" s="209"/>
      <c r="BW36" s="209"/>
      <c r="BX36" s="209"/>
      <c r="BY36" s="209"/>
      <c r="BZ36" s="209"/>
      <c r="CA36" s="209"/>
      <c r="CB36" s="209"/>
      <c r="CC36" s="209"/>
      <c r="CD36" s="209"/>
      <c r="CE36" s="209"/>
      <c r="CF36" s="209"/>
      <c r="CG36" s="209"/>
      <c r="CH36" s="209"/>
      <c r="CI36" s="209"/>
      <c r="CJ36" s="209"/>
      <c r="CK36" s="209"/>
      <c r="CL36" s="209"/>
      <c r="CM36" s="209"/>
      <c r="CN36" s="209"/>
      <c r="CO36" s="209"/>
      <c r="CP36" s="209"/>
      <c r="CQ36" s="209"/>
      <c r="CR36" s="209"/>
      <c r="CS36" s="209"/>
      <c r="CT36" s="209"/>
      <c r="CU36" s="209"/>
    </row>
    <row r="37" spans="1:99" ht="100.5" customHeight="1">
      <c r="A37" s="469"/>
      <c r="B37" s="457"/>
      <c r="C37" s="267" t="s">
        <v>62</v>
      </c>
      <c r="D37" s="249" t="s">
        <v>119</v>
      </c>
      <c r="E37" s="249" t="s">
        <v>120</v>
      </c>
      <c r="F37" s="243" t="s">
        <v>61</v>
      </c>
      <c r="G37" s="243" t="s">
        <v>61</v>
      </c>
      <c r="H37" s="243" t="s">
        <v>61</v>
      </c>
      <c r="I37" s="243" t="s">
        <v>61</v>
      </c>
      <c r="J37" s="243" t="s">
        <v>121</v>
      </c>
      <c r="K37" s="243" t="s">
        <v>118</v>
      </c>
      <c r="L37" s="243" t="s">
        <v>102</v>
      </c>
      <c r="M37" s="254" t="s">
        <v>103</v>
      </c>
      <c r="N37" s="247" t="s">
        <v>90</v>
      </c>
      <c r="O37" s="239"/>
      <c r="P37" s="239"/>
      <c r="Q37" s="239"/>
      <c r="R37" s="239"/>
      <c r="S37" s="239"/>
      <c r="T37" s="239"/>
      <c r="U37" s="209"/>
      <c r="V37" s="240"/>
      <c r="W37" s="240"/>
      <c r="X37" s="241"/>
      <c r="Y37" s="240"/>
      <c r="Z37" s="240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  <c r="BP37" s="209"/>
      <c r="BQ37" s="209"/>
      <c r="BR37" s="209"/>
      <c r="BS37" s="209"/>
      <c r="BT37" s="209"/>
      <c r="BU37" s="209"/>
      <c r="BV37" s="209"/>
      <c r="BW37" s="209"/>
      <c r="BX37" s="209"/>
      <c r="BY37" s="209"/>
      <c r="BZ37" s="209"/>
      <c r="CA37" s="209"/>
      <c r="CB37" s="209"/>
      <c r="CC37" s="209"/>
      <c r="CD37" s="209"/>
      <c r="CE37" s="209"/>
      <c r="CF37" s="209"/>
      <c r="CG37" s="209"/>
      <c r="CH37" s="209"/>
      <c r="CI37" s="209"/>
      <c r="CJ37" s="209"/>
      <c r="CK37" s="209"/>
      <c r="CL37" s="209"/>
      <c r="CM37" s="209"/>
      <c r="CN37" s="209"/>
      <c r="CO37" s="209"/>
      <c r="CP37" s="209"/>
      <c r="CQ37" s="209"/>
      <c r="CR37" s="209"/>
      <c r="CS37" s="209"/>
      <c r="CT37" s="209"/>
      <c r="CU37" s="209"/>
    </row>
    <row r="38" spans="1:99" ht="50.1" customHeight="1">
      <c r="A38" s="469"/>
      <c r="B38" s="458" t="s">
        <v>122</v>
      </c>
      <c r="C38" s="395" t="s">
        <v>123</v>
      </c>
      <c r="D38" s="397" t="s">
        <v>124</v>
      </c>
      <c r="E38" s="397" t="s">
        <v>125</v>
      </c>
      <c r="F38" s="393" t="s">
        <v>27</v>
      </c>
      <c r="G38" s="394" t="s">
        <v>87</v>
      </c>
      <c r="H38" s="393" t="s">
        <v>27</v>
      </c>
      <c r="I38" s="393" t="s">
        <v>27</v>
      </c>
      <c r="J38" s="393" t="s">
        <v>126</v>
      </c>
      <c r="K38" s="393" t="s">
        <v>127</v>
      </c>
      <c r="L38" s="393" t="s">
        <v>102</v>
      </c>
      <c r="M38" s="378" t="s">
        <v>81</v>
      </c>
      <c r="N38" s="384" t="s">
        <v>128</v>
      </c>
      <c r="O38" s="373"/>
      <c r="P38" s="373"/>
      <c r="Q38" s="373"/>
      <c r="R38" s="373"/>
      <c r="S38" s="373"/>
      <c r="T38" s="373"/>
      <c r="U38" s="209"/>
      <c r="V38" s="374"/>
      <c r="W38" s="374"/>
      <c r="X38" s="375"/>
      <c r="Y38" s="374"/>
      <c r="Z38" s="240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  <c r="AL38" s="478"/>
      <c r="AM38" s="478"/>
      <c r="AN38" s="478"/>
      <c r="AO38" s="478"/>
      <c r="AP38" s="478"/>
      <c r="AQ38" s="478"/>
      <c r="AR38" s="478"/>
      <c r="AS38" s="478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  <c r="BP38" s="209"/>
      <c r="BQ38" s="209"/>
      <c r="BR38" s="209"/>
      <c r="BS38" s="209"/>
      <c r="BT38" s="209"/>
      <c r="BU38" s="209"/>
      <c r="BV38" s="209"/>
      <c r="BW38" s="209"/>
      <c r="BX38" s="209"/>
      <c r="BY38" s="209"/>
      <c r="BZ38" s="209"/>
      <c r="CA38" s="209"/>
      <c r="CB38" s="209"/>
      <c r="CC38" s="209"/>
      <c r="CD38" s="209"/>
      <c r="CE38" s="209"/>
      <c r="CF38" s="209"/>
      <c r="CG38" s="209"/>
      <c r="CH38" s="209"/>
      <c r="CI38" s="209"/>
      <c r="CJ38" s="209"/>
      <c r="CK38" s="209"/>
      <c r="CL38" s="209"/>
      <c r="CM38" s="209"/>
      <c r="CN38" s="209"/>
      <c r="CO38" s="209"/>
      <c r="CP38" s="209"/>
      <c r="CQ38" s="209"/>
      <c r="CR38" s="209"/>
      <c r="CS38" s="209"/>
      <c r="CT38" s="209"/>
      <c r="CU38" s="209"/>
    </row>
    <row r="39" spans="1:99" ht="78" customHeight="1">
      <c r="A39" s="469"/>
      <c r="B39" s="459"/>
      <c r="C39" s="395"/>
      <c r="D39" s="397"/>
      <c r="E39" s="397"/>
      <c r="F39" s="393"/>
      <c r="G39" s="376"/>
      <c r="H39" s="393"/>
      <c r="I39" s="393"/>
      <c r="J39" s="393"/>
      <c r="K39" s="393"/>
      <c r="L39" s="393"/>
      <c r="M39" s="379"/>
      <c r="N39" s="384"/>
      <c r="O39" s="373"/>
      <c r="P39" s="373"/>
      <c r="Q39" s="373"/>
      <c r="R39" s="373"/>
      <c r="S39" s="373"/>
      <c r="T39" s="373"/>
      <c r="U39" s="209"/>
      <c r="V39" s="374"/>
      <c r="W39" s="374"/>
      <c r="X39" s="375"/>
      <c r="Y39" s="374"/>
      <c r="Z39" s="240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  <c r="AL39" s="478"/>
      <c r="AM39" s="478"/>
      <c r="AN39" s="478"/>
      <c r="AO39" s="478"/>
      <c r="AP39" s="478"/>
      <c r="AQ39" s="478"/>
      <c r="AR39" s="478"/>
      <c r="AS39" s="478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09"/>
      <c r="BP39" s="209"/>
      <c r="BQ39" s="209"/>
      <c r="BR39" s="209"/>
      <c r="BS39" s="209"/>
      <c r="BT39" s="209"/>
      <c r="BU39" s="209"/>
      <c r="BV39" s="209"/>
      <c r="BW39" s="209"/>
      <c r="BX39" s="209"/>
      <c r="BY39" s="209"/>
      <c r="BZ39" s="209"/>
      <c r="CA39" s="209"/>
      <c r="CB39" s="209"/>
      <c r="CC39" s="209"/>
      <c r="CD39" s="209"/>
      <c r="CE39" s="209"/>
      <c r="CF39" s="209"/>
      <c r="CG39" s="209"/>
      <c r="CH39" s="209"/>
      <c r="CI39" s="209"/>
      <c r="CJ39" s="209"/>
      <c r="CK39" s="209"/>
      <c r="CL39" s="209"/>
      <c r="CM39" s="209"/>
      <c r="CN39" s="209"/>
      <c r="CO39" s="209"/>
      <c r="CP39" s="209"/>
      <c r="CQ39" s="209"/>
      <c r="CR39" s="209"/>
      <c r="CS39" s="209"/>
      <c r="CT39" s="209"/>
      <c r="CU39" s="209"/>
    </row>
    <row r="40" spans="1:99" ht="49.5" hidden="1" customHeight="1" thickTop="1" thickBot="1">
      <c r="A40" s="469"/>
      <c r="B40" s="459"/>
      <c r="C40" s="396"/>
      <c r="D40" s="398"/>
      <c r="E40" s="398"/>
      <c r="F40" s="394"/>
      <c r="G40" s="376"/>
      <c r="H40" s="394"/>
      <c r="I40" s="394"/>
      <c r="J40" s="394"/>
      <c r="K40" s="394"/>
      <c r="L40" s="394"/>
      <c r="M40" s="379"/>
      <c r="N40" s="384"/>
      <c r="O40" s="373"/>
      <c r="P40" s="239"/>
      <c r="Q40" s="239"/>
      <c r="R40" s="239"/>
      <c r="S40" s="239"/>
      <c r="T40" s="373"/>
      <c r="U40" s="209"/>
      <c r="V40" s="240"/>
      <c r="W40" s="240"/>
      <c r="X40" s="241"/>
      <c r="Y40" s="240"/>
      <c r="Z40" s="240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  <c r="BP40" s="209"/>
      <c r="BQ40" s="209"/>
      <c r="BR40" s="209"/>
      <c r="BS40" s="209"/>
      <c r="BT40" s="209"/>
      <c r="BU40" s="209"/>
      <c r="BV40" s="209"/>
      <c r="BW40" s="209"/>
      <c r="BX40" s="209"/>
      <c r="BY40" s="209"/>
      <c r="BZ40" s="209"/>
      <c r="CA40" s="209"/>
      <c r="CB40" s="209"/>
      <c r="CC40" s="209"/>
      <c r="CD40" s="209"/>
      <c r="CE40" s="209"/>
      <c r="CF40" s="209"/>
      <c r="CG40" s="209"/>
      <c r="CH40" s="209"/>
      <c r="CI40" s="209"/>
      <c r="CJ40" s="209"/>
      <c r="CK40" s="209"/>
      <c r="CL40" s="209"/>
      <c r="CM40" s="209"/>
      <c r="CN40" s="209"/>
      <c r="CO40" s="209"/>
      <c r="CP40" s="209"/>
      <c r="CQ40" s="209"/>
      <c r="CR40" s="209"/>
      <c r="CS40" s="209"/>
      <c r="CT40" s="209"/>
      <c r="CU40" s="209"/>
    </row>
    <row r="41" spans="1:99" ht="50.1" customHeight="1">
      <c r="A41" s="469"/>
      <c r="B41" s="459"/>
      <c r="C41" s="406" t="s">
        <v>129</v>
      </c>
      <c r="D41" s="407" t="s">
        <v>130</v>
      </c>
      <c r="E41" s="407" t="s">
        <v>131</v>
      </c>
      <c r="F41" s="402" t="s">
        <v>27</v>
      </c>
      <c r="G41" s="376" t="s">
        <v>87</v>
      </c>
      <c r="H41" s="402" t="s">
        <v>27</v>
      </c>
      <c r="I41" s="402" t="s">
        <v>27</v>
      </c>
      <c r="J41" s="402" t="s">
        <v>132</v>
      </c>
      <c r="K41" s="402" t="s">
        <v>133</v>
      </c>
      <c r="L41" s="402" t="s">
        <v>102</v>
      </c>
      <c r="M41" s="379" t="s">
        <v>81</v>
      </c>
      <c r="N41" s="384" t="s">
        <v>134</v>
      </c>
      <c r="O41" s="213"/>
      <c r="P41" s="373"/>
      <c r="Q41" s="373"/>
      <c r="R41" s="373"/>
      <c r="S41" s="373"/>
      <c r="T41" s="373"/>
      <c r="U41" s="209"/>
      <c r="V41" s="374"/>
      <c r="W41" s="374"/>
      <c r="X41" s="375"/>
      <c r="Y41" s="374"/>
      <c r="Z41" s="240"/>
      <c r="AA41" s="371"/>
      <c r="AB41" s="371"/>
      <c r="AC41" s="371"/>
      <c r="AD41" s="371"/>
      <c r="AE41" s="371"/>
      <c r="AF41" s="371"/>
      <c r="AG41" s="371"/>
      <c r="AH41" s="371"/>
      <c r="AI41" s="371"/>
      <c r="AJ41" s="371"/>
      <c r="AK41" s="371"/>
      <c r="AL41" s="371"/>
      <c r="AM41" s="371"/>
      <c r="AN41" s="371"/>
      <c r="AO41" s="371"/>
      <c r="AP41" s="371"/>
      <c r="AQ41" s="371"/>
      <c r="AR41" s="371"/>
      <c r="AS41" s="371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  <c r="BP41" s="209"/>
      <c r="BQ41" s="209"/>
      <c r="BR41" s="209"/>
      <c r="BS41" s="209"/>
      <c r="BT41" s="209"/>
      <c r="BU41" s="209"/>
      <c r="BV41" s="209"/>
      <c r="BW41" s="209"/>
      <c r="BX41" s="209"/>
      <c r="BY41" s="209"/>
      <c r="BZ41" s="209"/>
      <c r="CA41" s="209"/>
      <c r="CB41" s="209"/>
      <c r="CC41" s="209"/>
      <c r="CD41" s="209"/>
      <c r="CE41" s="209"/>
      <c r="CF41" s="209"/>
      <c r="CG41" s="209"/>
      <c r="CH41" s="209"/>
      <c r="CI41" s="209"/>
      <c r="CJ41" s="209"/>
      <c r="CK41" s="209"/>
      <c r="CL41" s="209"/>
      <c r="CM41" s="209"/>
      <c r="CN41" s="209"/>
      <c r="CO41" s="209"/>
      <c r="CP41" s="209"/>
      <c r="CQ41" s="209"/>
      <c r="CR41" s="209"/>
      <c r="CS41" s="209"/>
      <c r="CT41" s="209"/>
      <c r="CU41" s="209"/>
    </row>
    <row r="42" spans="1:99" ht="53.25" customHeight="1">
      <c r="A42" s="469"/>
      <c r="B42" s="459"/>
      <c r="C42" s="395"/>
      <c r="D42" s="397"/>
      <c r="E42" s="397"/>
      <c r="F42" s="393"/>
      <c r="G42" s="376"/>
      <c r="H42" s="393"/>
      <c r="I42" s="393"/>
      <c r="J42" s="393"/>
      <c r="K42" s="393"/>
      <c r="L42" s="393"/>
      <c r="M42" s="379"/>
      <c r="N42" s="384"/>
      <c r="O42" s="373"/>
      <c r="P42" s="373"/>
      <c r="Q42" s="373"/>
      <c r="R42" s="373"/>
      <c r="S42" s="373"/>
      <c r="T42" s="373"/>
      <c r="U42" s="209"/>
      <c r="V42" s="374"/>
      <c r="W42" s="374"/>
      <c r="X42" s="375"/>
      <c r="Y42" s="374"/>
      <c r="Z42" s="240"/>
      <c r="AA42" s="371"/>
      <c r="AB42" s="371"/>
      <c r="AC42" s="371"/>
      <c r="AD42" s="371"/>
      <c r="AE42" s="371"/>
      <c r="AF42" s="371"/>
      <c r="AG42" s="371"/>
      <c r="AH42" s="371"/>
      <c r="AI42" s="371"/>
      <c r="AJ42" s="371"/>
      <c r="AK42" s="371"/>
      <c r="AL42" s="371"/>
      <c r="AM42" s="371"/>
      <c r="AN42" s="371"/>
      <c r="AO42" s="371"/>
      <c r="AP42" s="371"/>
      <c r="AQ42" s="371"/>
      <c r="AR42" s="371"/>
      <c r="AS42" s="371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  <c r="BP42" s="209"/>
      <c r="BQ42" s="209"/>
      <c r="BR42" s="209"/>
      <c r="BS42" s="209"/>
      <c r="BT42" s="209"/>
      <c r="BU42" s="209"/>
      <c r="BV42" s="209"/>
      <c r="BW42" s="209"/>
      <c r="BX42" s="209"/>
      <c r="BY42" s="209"/>
      <c r="BZ42" s="209"/>
      <c r="CA42" s="209"/>
      <c r="CB42" s="209"/>
      <c r="CC42" s="209"/>
      <c r="CD42" s="209"/>
      <c r="CE42" s="209"/>
      <c r="CF42" s="209"/>
      <c r="CG42" s="209"/>
      <c r="CH42" s="209"/>
      <c r="CI42" s="209"/>
      <c r="CJ42" s="209"/>
      <c r="CK42" s="209"/>
      <c r="CL42" s="209"/>
      <c r="CM42" s="209"/>
      <c r="CN42" s="209"/>
      <c r="CO42" s="209"/>
      <c r="CP42" s="209"/>
      <c r="CQ42" s="209"/>
      <c r="CR42" s="209"/>
      <c r="CS42" s="209"/>
      <c r="CT42" s="209"/>
      <c r="CU42" s="209"/>
    </row>
    <row r="43" spans="1:99" ht="15" customHeight="1">
      <c r="A43" s="469"/>
      <c r="B43" s="459"/>
      <c r="C43" s="396"/>
      <c r="D43" s="398"/>
      <c r="E43" s="398"/>
      <c r="F43" s="394"/>
      <c r="G43" s="376"/>
      <c r="H43" s="394"/>
      <c r="I43" s="394"/>
      <c r="J43" s="394"/>
      <c r="K43" s="394"/>
      <c r="L43" s="394"/>
      <c r="M43" s="379"/>
      <c r="N43" s="384"/>
      <c r="O43" s="373"/>
      <c r="P43" s="373"/>
      <c r="Q43" s="373"/>
      <c r="R43" s="373"/>
      <c r="S43" s="373"/>
      <c r="T43" s="373"/>
      <c r="U43" s="209"/>
      <c r="V43" s="374"/>
      <c r="W43" s="374"/>
      <c r="X43" s="375"/>
      <c r="Y43" s="374"/>
      <c r="Z43" s="240"/>
      <c r="AA43" s="371"/>
      <c r="AB43" s="371"/>
      <c r="AC43" s="371"/>
      <c r="AD43" s="371"/>
      <c r="AE43" s="371"/>
      <c r="AF43" s="371"/>
      <c r="AG43" s="371"/>
      <c r="AH43" s="371"/>
      <c r="AI43" s="371"/>
      <c r="AJ43" s="371"/>
      <c r="AK43" s="371"/>
      <c r="AL43" s="371"/>
      <c r="AM43" s="371"/>
      <c r="AN43" s="371"/>
      <c r="AO43" s="371"/>
      <c r="AP43" s="371"/>
      <c r="AQ43" s="371"/>
      <c r="AR43" s="371"/>
      <c r="AS43" s="371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  <c r="BP43" s="209"/>
      <c r="BQ43" s="209"/>
      <c r="BR43" s="209"/>
      <c r="BS43" s="209"/>
      <c r="BT43" s="209"/>
      <c r="BU43" s="209"/>
      <c r="BV43" s="209"/>
      <c r="BW43" s="209"/>
      <c r="BX43" s="209"/>
      <c r="BY43" s="209"/>
      <c r="BZ43" s="209"/>
      <c r="CA43" s="209"/>
      <c r="CB43" s="209"/>
      <c r="CC43" s="209"/>
      <c r="CD43" s="209"/>
      <c r="CE43" s="209"/>
      <c r="CF43" s="209"/>
      <c r="CG43" s="209"/>
      <c r="CH43" s="209"/>
      <c r="CI43" s="209"/>
      <c r="CJ43" s="209"/>
      <c r="CK43" s="209"/>
      <c r="CL43" s="209"/>
      <c r="CM43" s="209"/>
      <c r="CN43" s="209"/>
      <c r="CO43" s="209"/>
      <c r="CP43" s="209"/>
      <c r="CQ43" s="209"/>
      <c r="CR43" s="209"/>
      <c r="CS43" s="209"/>
      <c r="CT43" s="209"/>
      <c r="CU43" s="209"/>
    </row>
    <row r="44" spans="1:99" ht="50.1" customHeight="1">
      <c r="A44" s="469"/>
      <c r="B44" s="459"/>
      <c r="C44" s="406" t="s">
        <v>135</v>
      </c>
      <c r="D44" s="407" t="s">
        <v>136</v>
      </c>
      <c r="E44" s="407" t="s">
        <v>137</v>
      </c>
      <c r="F44" s="402" t="s">
        <v>27</v>
      </c>
      <c r="G44" s="376" t="s">
        <v>87</v>
      </c>
      <c r="H44" s="402" t="s">
        <v>27</v>
      </c>
      <c r="I44" s="402" t="s">
        <v>27</v>
      </c>
      <c r="J44" s="402" t="s">
        <v>138</v>
      </c>
      <c r="K44" s="402" t="s">
        <v>139</v>
      </c>
      <c r="L44" s="402" t="s">
        <v>102</v>
      </c>
      <c r="M44" s="379" t="s">
        <v>81</v>
      </c>
      <c r="N44" s="384" t="s">
        <v>128</v>
      </c>
      <c r="O44" s="373"/>
      <c r="P44" s="373"/>
      <c r="Q44" s="373"/>
      <c r="R44" s="373"/>
      <c r="S44" s="373"/>
      <c r="T44" s="373"/>
      <c r="U44" s="209"/>
      <c r="V44" s="374"/>
      <c r="W44" s="374"/>
      <c r="X44" s="375"/>
      <c r="Y44" s="374"/>
      <c r="Z44" s="240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  <c r="AK44" s="371"/>
      <c r="AL44" s="371"/>
      <c r="AM44" s="371"/>
      <c r="AN44" s="371"/>
      <c r="AO44" s="371"/>
      <c r="AP44" s="371"/>
      <c r="AQ44" s="371"/>
      <c r="AR44" s="371"/>
      <c r="AS44" s="371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  <c r="BP44" s="209"/>
      <c r="BQ44" s="209"/>
      <c r="BR44" s="209"/>
      <c r="BS44" s="209"/>
      <c r="BT44" s="209"/>
      <c r="BU44" s="209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09"/>
      <c r="CH44" s="209"/>
      <c r="CI44" s="209"/>
      <c r="CJ44" s="209"/>
      <c r="CK44" s="209"/>
      <c r="CL44" s="209"/>
      <c r="CM44" s="209"/>
      <c r="CN44" s="209"/>
      <c r="CO44" s="209"/>
      <c r="CP44" s="209"/>
      <c r="CQ44" s="209"/>
      <c r="CR44" s="209"/>
      <c r="CS44" s="209"/>
      <c r="CT44" s="209"/>
      <c r="CU44" s="209"/>
    </row>
    <row r="45" spans="1:99" ht="42.75" customHeight="1">
      <c r="A45" s="469"/>
      <c r="B45" s="459"/>
      <c r="C45" s="395"/>
      <c r="D45" s="397"/>
      <c r="E45" s="397"/>
      <c r="F45" s="393"/>
      <c r="G45" s="376"/>
      <c r="H45" s="393"/>
      <c r="I45" s="393"/>
      <c r="J45" s="393"/>
      <c r="K45" s="393"/>
      <c r="L45" s="393"/>
      <c r="M45" s="379"/>
      <c r="N45" s="384"/>
      <c r="O45" s="373"/>
      <c r="P45" s="373"/>
      <c r="Q45" s="373"/>
      <c r="R45" s="373"/>
      <c r="S45" s="373"/>
      <c r="T45" s="373"/>
      <c r="U45" s="209"/>
      <c r="V45" s="374"/>
      <c r="W45" s="374"/>
      <c r="X45" s="375"/>
      <c r="Y45" s="374"/>
      <c r="Z45" s="240"/>
      <c r="AA45" s="371"/>
      <c r="AB45" s="371"/>
      <c r="AC45" s="371"/>
      <c r="AD45" s="371"/>
      <c r="AE45" s="371"/>
      <c r="AF45" s="371"/>
      <c r="AG45" s="371"/>
      <c r="AH45" s="371"/>
      <c r="AI45" s="371"/>
      <c r="AJ45" s="371"/>
      <c r="AK45" s="371"/>
      <c r="AL45" s="371"/>
      <c r="AM45" s="371"/>
      <c r="AN45" s="371"/>
      <c r="AO45" s="371"/>
      <c r="AP45" s="371"/>
      <c r="AQ45" s="371"/>
      <c r="AR45" s="371"/>
      <c r="AS45" s="371"/>
      <c r="AT45" s="209"/>
      <c r="AU45" s="209"/>
      <c r="AV45" s="209"/>
      <c r="AW45" s="209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  <c r="BO45" s="209"/>
      <c r="BP45" s="209"/>
      <c r="BQ45" s="209"/>
      <c r="BR45" s="209"/>
      <c r="BS45" s="209"/>
      <c r="BT45" s="209"/>
      <c r="BU45" s="209"/>
      <c r="BV45" s="209"/>
      <c r="BW45" s="209"/>
      <c r="BX45" s="209"/>
      <c r="BY45" s="209"/>
      <c r="BZ45" s="209"/>
      <c r="CA45" s="209"/>
      <c r="CB45" s="209"/>
      <c r="CC45" s="209"/>
      <c r="CD45" s="209"/>
      <c r="CE45" s="209"/>
      <c r="CF45" s="209"/>
      <c r="CG45" s="209"/>
      <c r="CH45" s="209"/>
      <c r="CI45" s="209"/>
      <c r="CJ45" s="209"/>
      <c r="CK45" s="209"/>
      <c r="CL45" s="209"/>
      <c r="CM45" s="209"/>
      <c r="CN45" s="209"/>
      <c r="CO45" s="209"/>
      <c r="CP45" s="209"/>
      <c r="CQ45" s="209"/>
      <c r="CR45" s="209"/>
      <c r="CS45" s="209"/>
      <c r="CT45" s="209"/>
      <c r="CU45" s="209"/>
    </row>
    <row r="46" spans="1:99" ht="30" customHeight="1">
      <c r="A46" s="469"/>
      <c r="B46" s="459"/>
      <c r="C46" s="396"/>
      <c r="D46" s="398"/>
      <c r="E46" s="398"/>
      <c r="F46" s="394"/>
      <c r="G46" s="376"/>
      <c r="H46" s="394"/>
      <c r="I46" s="394"/>
      <c r="J46" s="394"/>
      <c r="K46" s="394"/>
      <c r="L46" s="394"/>
      <c r="M46" s="379"/>
      <c r="N46" s="384"/>
      <c r="O46" s="373"/>
      <c r="P46" s="373"/>
      <c r="Q46" s="373"/>
      <c r="R46" s="373"/>
      <c r="S46" s="373"/>
      <c r="T46" s="373"/>
      <c r="U46" s="209"/>
      <c r="V46" s="374"/>
      <c r="W46" s="374"/>
      <c r="X46" s="375"/>
      <c r="Y46" s="374"/>
      <c r="Z46" s="240"/>
      <c r="AA46" s="371"/>
      <c r="AB46" s="371"/>
      <c r="AC46" s="371"/>
      <c r="AD46" s="371"/>
      <c r="AE46" s="371"/>
      <c r="AF46" s="371"/>
      <c r="AG46" s="371"/>
      <c r="AH46" s="371"/>
      <c r="AI46" s="371"/>
      <c r="AJ46" s="371"/>
      <c r="AK46" s="371"/>
      <c r="AL46" s="371"/>
      <c r="AM46" s="371"/>
      <c r="AN46" s="371"/>
      <c r="AO46" s="371"/>
      <c r="AP46" s="371"/>
      <c r="AQ46" s="371"/>
      <c r="AR46" s="371"/>
      <c r="AS46" s="371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  <c r="BO46" s="209"/>
      <c r="BP46" s="209"/>
      <c r="BQ46" s="209"/>
      <c r="BR46" s="209"/>
      <c r="BS46" s="209"/>
      <c r="BT46" s="209"/>
      <c r="BU46" s="209"/>
      <c r="BV46" s="209"/>
      <c r="BW46" s="209"/>
      <c r="BX46" s="209"/>
      <c r="BY46" s="209"/>
      <c r="BZ46" s="209"/>
      <c r="CA46" s="209"/>
      <c r="CB46" s="209"/>
      <c r="CC46" s="209"/>
      <c r="CD46" s="209"/>
      <c r="CE46" s="209"/>
      <c r="CF46" s="209"/>
      <c r="CG46" s="209"/>
      <c r="CH46" s="209"/>
      <c r="CI46" s="209"/>
      <c r="CJ46" s="209"/>
      <c r="CK46" s="209"/>
      <c r="CL46" s="209"/>
      <c r="CM46" s="209"/>
      <c r="CN46" s="209"/>
      <c r="CO46" s="209"/>
      <c r="CP46" s="209"/>
      <c r="CQ46" s="209"/>
      <c r="CR46" s="209"/>
      <c r="CS46" s="209"/>
      <c r="CT46" s="209"/>
      <c r="CU46" s="209"/>
    </row>
    <row r="47" spans="1:99" ht="50.1" customHeight="1">
      <c r="A47" s="469"/>
      <c r="B47" s="459"/>
      <c r="C47" s="415" t="s">
        <v>140</v>
      </c>
      <c r="D47" s="407" t="s">
        <v>141</v>
      </c>
      <c r="E47" s="407" t="s">
        <v>142</v>
      </c>
      <c r="F47" s="402" t="s">
        <v>27</v>
      </c>
      <c r="G47" s="376" t="s">
        <v>87</v>
      </c>
      <c r="H47" s="402" t="s">
        <v>27</v>
      </c>
      <c r="I47" s="402" t="s">
        <v>27</v>
      </c>
      <c r="J47" s="402" t="s">
        <v>143</v>
      </c>
      <c r="K47" s="402" t="s">
        <v>144</v>
      </c>
      <c r="L47" s="402" t="s">
        <v>102</v>
      </c>
      <c r="M47" s="379" t="s">
        <v>81</v>
      </c>
      <c r="N47" s="384" t="s">
        <v>145</v>
      </c>
      <c r="O47" s="373"/>
      <c r="P47" s="373"/>
      <c r="Q47" s="373"/>
      <c r="R47" s="373"/>
      <c r="S47" s="373"/>
      <c r="T47" s="373"/>
      <c r="U47" s="209"/>
      <c r="V47" s="374"/>
      <c r="W47" s="374"/>
      <c r="X47" s="375"/>
      <c r="Y47" s="374"/>
      <c r="Z47" s="240"/>
      <c r="AA47" s="371"/>
      <c r="AB47" s="371"/>
      <c r="AC47" s="371"/>
      <c r="AD47" s="371"/>
      <c r="AE47" s="371"/>
      <c r="AF47" s="371"/>
      <c r="AG47" s="371"/>
      <c r="AH47" s="371"/>
      <c r="AI47" s="371"/>
      <c r="AJ47" s="371"/>
      <c r="AK47" s="371"/>
      <c r="AL47" s="371"/>
      <c r="AM47" s="371"/>
      <c r="AN47" s="371"/>
      <c r="AO47" s="371"/>
      <c r="AP47" s="371"/>
      <c r="AQ47" s="371"/>
      <c r="AR47" s="371"/>
      <c r="AS47" s="371"/>
      <c r="AT47" s="209"/>
      <c r="AU47" s="209"/>
      <c r="AV47" s="209"/>
      <c r="AW47" s="209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  <c r="BO47" s="209"/>
      <c r="BP47" s="209"/>
      <c r="BQ47" s="209"/>
      <c r="BR47" s="209"/>
      <c r="BS47" s="209"/>
      <c r="BT47" s="209"/>
      <c r="BU47" s="209"/>
      <c r="BV47" s="209"/>
      <c r="BW47" s="209"/>
      <c r="BX47" s="209"/>
      <c r="BY47" s="209"/>
      <c r="BZ47" s="209"/>
      <c r="CA47" s="209"/>
      <c r="CB47" s="209"/>
      <c r="CC47" s="209"/>
      <c r="CD47" s="209"/>
      <c r="CE47" s="209"/>
      <c r="CF47" s="209"/>
      <c r="CG47" s="209"/>
      <c r="CH47" s="209"/>
      <c r="CI47" s="209"/>
      <c r="CJ47" s="209"/>
      <c r="CK47" s="209"/>
      <c r="CL47" s="209"/>
      <c r="CM47" s="209"/>
      <c r="CN47" s="209"/>
      <c r="CO47" s="209"/>
      <c r="CP47" s="209"/>
      <c r="CQ47" s="209"/>
      <c r="CR47" s="209"/>
      <c r="CS47" s="209"/>
      <c r="CT47" s="209"/>
      <c r="CU47" s="209"/>
    </row>
    <row r="48" spans="1:99" ht="50.1" customHeight="1">
      <c r="A48" s="469"/>
      <c r="B48" s="459"/>
      <c r="C48" s="416"/>
      <c r="D48" s="397"/>
      <c r="E48" s="397"/>
      <c r="F48" s="393"/>
      <c r="G48" s="376"/>
      <c r="H48" s="393"/>
      <c r="I48" s="393"/>
      <c r="J48" s="393"/>
      <c r="K48" s="393"/>
      <c r="L48" s="393"/>
      <c r="M48" s="379"/>
      <c r="N48" s="384"/>
      <c r="O48" s="373"/>
      <c r="P48" s="373"/>
      <c r="Q48" s="373"/>
      <c r="R48" s="373"/>
      <c r="S48" s="373"/>
      <c r="T48" s="373"/>
      <c r="U48" s="209"/>
      <c r="V48" s="374"/>
      <c r="W48" s="374"/>
      <c r="X48" s="375"/>
      <c r="Y48" s="374"/>
      <c r="Z48" s="240"/>
      <c r="AA48" s="371"/>
      <c r="AB48" s="371"/>
      <c r="AC48" s="371"/>
      <c r="AD48" s="371"/>
      <c r="AE48" s="371"/>
      <c r="AF48" s="371"/>
      <c r="AG48" s="371"/>
      <c r="AH48" s="371"/>
      <c r="AI48" s="371"/>
      <c r="AJ48" s="371"/>
      <c r="AK48" s="371"/>
      <c r="AL48" s="371"/>
      <c r="AM48" s="371"/>
      <c r="AN48" s="371"/>
      <c r="AO48" s="371"/>
      <c r="AP48" s="371"/>
      <c r="AQ48" s="371"/>
      <c r="AR48" s="371"/>
      <c r="AS48" s="371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  <c r="BO48" s="209"/>
      <c r="BP48" s="209"/>
      <c r="BQ48" s="209"/>
      <c r="BR48" s="209"/>
      <c r="BS48" s="209"/>
      <c r="BT48" s="209"/>
      <c r="BU48" s="209"/>
      <c r="BV48" s="209"/>
      <c r="BW48" s="209"/>
      <c r="BX48" s="209"/>
      <c r="BY48" s="209"/>
      <c r="BZ48" s="209"/>
      <c r="CA48" s="209"/>
      <c r="CB48" s="209"/>
      <c r="CC48" s="209"/>
      <c r="CD48" s="209"/>
      <c r="CE48" s="209"/>
      <c r="CF48" s="209"/>
      <c r="CG48" s="209"/>
      <c r="CH48" s="209"/>
      <c r="CI48" s="209"/>
      <c r="CJ48" s="209"/>
      <c r="CK48" s="209"/>
      <c r="CL48" s="209"/>
      <c r="CM48" s="209"/>
      <c r="CN48" s="209"/>
      <c r="CO48" s="209"/>
      <c r="CP48" s="209"/>
      <c r="CQ48" s="209"/>
      <c r="CR48" s="209"/>
      <c r="CS48" s="209"/>
      <c r="CT48" s="209"/>
      <c r="CU48" s="209"/>
    </row>
    <row r="49" spans="1:99" ht="173.25" customHeight="1">
      <c r="A49" s="470"/>
      <c r="B49" s="460"/>
      <c r="C49" s="417"/>
      <c r="D49" s="418"/>
      <c r="E49" s="418"/>
      <c r="F49" s="423"/>
      <c r="G49" s="377"/>
      <c r="H49" s="423"/>
      <c r="I49" s="423"/>
      <c r="J49" s="423"/>
      <c r="K49" s="423"/>
      <c r="L49" s="423"/>
      <c r="M49" s="409"/>
      <c r="N49" s="384"/>
      <c r="O49" s="373"/>
      <c r="P49" s="373"/>
      <c r="Q49" s="373"/>
      <c r="R49" s="373"/>
      <c r="S49" s="373"/>
      <c r="T49" s="373"/>
      <c r="U49" s="209"/>
      <c r="V49" s="374"/>
      <c r="W49" s="374"/>
      <c r="X49" s="375"/>
      <c r="Y49" s="374"/>
      <c r="Z49" s="240"/>
      <c r="AA49" s="371"/>
      <c r="AB49" s="371"/>
      <c r="AC49" s="371"/>
      <c r="AD49" s="371"/>
      <c r="AE49" s="371"/>
      <c r="AF49" s="371"/>
      <c r="AG49" s="371"/>
      <c r="AH49" s="371"/>
      <c r="AI49" s="371"/>
      <c r="AJ49" s="371"/>
      <c r="AK49" s="371"/>
      <c r="AL49" s="371"/>
      <c r="AM49" s="371"/>
      <c r="AN49" s="371"/>
      <c r="AO49" s="371"/>
      <c r="AP49" s="371"/>
      <c r="AQ49" s="371"/>
      <c r="AR49" s="371"/>
      <c r="AS49" s="371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  <c r="BN49" s="209"/>
      <c r="BO49" s="209"/>
      <c r="BP49" s="209"/>
      <c r="BQ49" s="209"/>
      <c r="BR49" s="209"/>
      <c r="BS49" s="209"/>
      <c r="BT49" s="209"/>
      <c r="BU49" s="209"/>
      <c r="BV49" s="209"/>
      <c r="BW49" s="209"/>
      <c r="BX49" s="209"/>
      <c r="BY49" s="209"/>
      <c r="BZ49" s="209"/>
      <c r="CA49" s="209"/>
      <c r="CB49" s="209"/>
      <c r="CC49" s="209"/>
      <c r="CD49" s="209"/>
      <c r="CE49" s="209"/>
      <c r="CF49" s="209"/>
      <c r="CG49" s="209"/>
      <c r="CH49" s="209"/>
      <c r="CI49" s="209"/>
      <c r="CJ49" s="209"/>
      <c r="CK49" s="209"/>
      <c r="CL49" s="209"/>
      <c r="CM49" s="209"/>
      <c r="CN49" s="209"/>
      <c r="CO49" s="209"/>
      <c r="CP49" s="209"/>
      <c r="CQ49" s="209"/>
      <c r="CR49" s="209"/>
      <c r="CS49" s="209"/>
      <c r="CT49" s="209"/>
      <c r="CU49" s="209"/>
    </row>
    <row r="50" spans="1:99" ht="63" customHeight="1">
      <c r="A50" s="463" t="s">
        <v>146</v>
      </c>
      <c r="B50" s="404" t="s">
        <v>147</v>
      </c>
      <c r="C50" s="421" t="s">
        <v>148</v>
      </c>
      <c r="D50" s="398" t="s">
        <v>149</v>
      </c>
      <c r="E50" s="398" t="s">
        <v>150</v>
      </c>
      <c r="F50" s="394"/>
      <c r="G50" s="393" t="s">
        <v>87</v>
      </c>
      <c r="H50" s="393" t="s">
        <v>87</v>
      </c>
      <c r="I50" s="394" t="s">
        <v>151</v>
      </c>
      <c r="J50" s="394" t="s">
        <v>152</v>
      </c>
      <c r="K50" s="394" t="s">
        <v>153</v>
      </c>
      <c r="L50" s="394" t="s">
        <v>154</v>
      </c>
      <c r="M50" s="378" t="s">
        <v>155</v>
      </c>
      <c r="N50" s="384" t="s">
        <v>156</v>
      </c>
      <c r="O50" s="373"/>
      <c r="P50" s="373"/>
      <c r="Q50" s="373"/>
      <c r="R50" s="373"/>
      <c r="S50" s="373"/>
      <c r="T50" s="373"/>
      <c r="U50" s="209"/>
      <c r="V50" s="374"/>
      <c r="W50" s="374"/>
      <c r="X50" s="375"/>
      <c r="Y50" s="374"/>
      <c r="Z50" s="240"/>
      <c r="AA50" s="371"/>
      <c r="AB50" s="371"/>
      <c r="AC50" s="371"/>
      <c r="AD50" s="371"/>
      <c r="AE50" s="371"/>
      <c r="AF50" s="371"/>
      <c r="AG50" s="371"/>
      <c r="AH50" s="371"/>
      <c r="AI50" s="371"/>
      <c r="AJ50" s="371"/>
      <c r="AK50" s="371"/>
      <c r="AL50" s="371"/>
      <c r="AM50" s="371"/>
      <c r="AN50" s="371"/>
      <c r="AO50" s="371"/>
      <c r="AP50" s="371"/>
      <c r="AQ50" s="371"/>
      <c r="AR50" s="371"/>
      <c r="AS50" s="371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  <c r="BN50" s="209"/>
      <c r="BO50" s="209"/>
      <c r="BP50" s="209"/>
      <c r="BQ50" s="209"/>
      <c r="BR50" s="209"/>
      <c r="BS50" s="209"/>
      <c r="BT50" s="209"/>
      <c r="BU50" s="209"/>
      <c r="BV50" s="209"/>
      <c r="BW50" s="209"/>
      <c r="BX50" s="209"/>
      <c r="BY50" s="209"/>
      <c r="BZ50" s="209"/>
      <c r="CA50" s="209"/>
      <c r="CB50" s="209"/>
      <c r="CC50" s="209"/>
      <c r="CD50" s="209"/>
      <c r="CE50" s="209"/>
      <c r="CF50" s="209"/>
      <c r="CG50" s="209"/>
      <c r="CH50" s="209"/>
      <c r="CI50" s="209"/>
      <c r="CJ50" s="209"/>
      <c r="CK50" s="209"/>
      <c r="CL50" s="209"/>
      <c r="CM50" s="209"/>
      <c r="CN50" s="209"/>
      <c r="CO50" s="209"/>
      <c r="CP50" s="209"/>
      <c r="CQ50" s="209"/>
      <c r="CR50" s="209"/>
      <c r="CS50" s="209"/>
      <c r="CT50" s="209"/>
      <c r="CU50" s="209"/>
    </row>
    <row r="51" spans="1:99" ht="123.75" customHeight="1">
      <c r="A51" s="464"/>
      <c r="B51" s="405"/>
      <c r="C51" s="422"/>
      <c r="D51" s="385"/>
      <c r="E51" s="385"/>
      <c r="F51" s="376"/>
      <c r="G51" s="394"/>
      <c r="H51" s="394"/>
      <c r="I51" s="376"/>
      <c r="J51" s="376"/>
      <c r="K51" s="376"/>
      <c r="L51" s="376"/>
      <c r="M51" s="379"/>
      <c r="N51" s="384"/>
      <c r="O51" s="373"/>
      <c r="P51" s="373"/>
      <c r="Q51" s="373"/>
      <c r="R51" s="373"/>
      <c r="S51" s="373"/>
      <c r="T51" s="373"/>
      <c r="U51" s="209"/>
      <c r="V51" s="374"/>
      <c r="W51" s="374"/>
      <c r="X51" s="375"/>
      <c r="Y51" s="374"/>
      <c r="Z51" s="240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371"/>
      <c r="AL51" s="371"/>
      <c r="AM51" s="371"/>
      <c r="AN51" s="371"/>
      <c r="AO51" s="371"/>
      <c r="AP51" s="371"/>
      <c r="AQ51" s="371"/>
      <c r="AR51" s="371"/>
      <c r="AS51" s="371"/>
      <c r="AT51" s="209"/>
      <c r="AU51" s="209"/>
      <c r="AV51" s="209"/>
      <c r="AW51" s="209"/>
      <c r="AX51" s="209"/>
      <c r="AY51" s="209"/>
      <c r="AZ51" s="209"/>
      <c r="BA51" s="209"/>
      <c r="BB51" s="209"/>
      <c r="BC51" s="209"/>
      <c r="BD51" s="209"/>
      <c r="BE51" s="209"/>
      <c r="BF51" s="209"/>
      <c r="BG51" s="209"/>
      <c r="BH51" s="209"/>
      <c r="BI51" s="209"/>
      <c r="BJ51" s="209"/>
      <c r="BK51" s="209"/>
      <c r="BL51" s="209"/>
      <c r="BM51" s="209"/>
      <c r="BN51" s="209"/>
      <c r="BO51" s="209"/>
      <c r="BP51" s="209"/>
      <c r="BQ51" s="209"/>
      <c r="BR51" s="209"/>
      <c r="BS51" s="209"/>
      <c r="BT51" s="209"/>
      <c r="BU51" s="209"/>
      <c r="BV51" s="209"/>
      <c r="BW51" s="209"/>
      <c r="BX51" s="209"/>
      <c r="BY51" s="209"/>
      <c r="BZ51" s="209"/>
      <c r="CA51" s="209"/>
      <c r="CB51" s="209"/>
      <c r="CC51" s="209"/>
      <c r="CD51" s="209"/>
      <c r="CE51" s="209"/>
      <c r="CF51" s="209"/>
      <c r="CG51" s="209"/>
      <c r="CH51" s="209"/>
      <c r="CI51" s="209"/>
      <c r="CJ51" s="209"/>
      <c r="CK51" s="209"/>
      <c r="CL51" s="209"/>
      <c r="CM51" s="209"/>
      <c r="CN51" s="209"/>
      <c r="CO51" s="209"/>
      <c r="CP51" s="209"/>
      <c r="CQ51" s="209"/>
      <c r="CR51" s="209"/>
      <c r="CS51" s="209"/>
      <c r="CT51" s="209"/>
      <c r="CU51" s="209"/>
    </row>
    <row r="52" spans="1:99" ht="50.1" customHeight="1">
      <c r="A52" s="464"/>
      <c r="B52" s="405"/>
      <c r="C52" s="419" t="s">
        <v>157</v>
      </c>
      <c r="D52" s="385" t="s">
        <v>158</v>
      </c>
      <c r="E52" s="385" t="s">
        <v>159</v>
      </c>
      <c r="F52" s="382"/>
      <c r="G52" s="393" t="s">
        <v>87</v>
      </c>
      <c r="H52" s="393" t="s">
        <v>87</v>
      </c>
      <c r="I52" s="376" t="s">
        <v>151</v>
      </c>
      <c r="J52" s="376" t="s">
        <v>160</v>
      </c>
      <c r="K52" s="376" t="s">
        <v>161</v>
      </c>
      <c r="L52" s="376" t="s">
        <v>154</v>
      </c>
      <c r="M52" s="408" t="s">
        <v>155</v>
      </c>
      <c r="N52" s="384" t="s">
        <v>162</v>
      </c>
      <c r="O52" s="373"/>
      <c r="P52" s="373"/>
      <c r="Q52" s="373"/>
      <c r="R52" s="373"/>
      <c r="S52" s="373"/>
      <c r="T52" s="373"/>
      <c r="U52" s="209"/>
      <c r="V52" s="374"/>
      <c r="W52" s="374"/>
      <c r="X52" s="375"/>
      <c r="Y52" s="374"/>
      <c r="Z52" s="240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  <c r="AK52" s="371"/>
      <c r="AL52" s="371"/>
      <c r="AM52" s="371"/>
      <c r="AN52" s="371"/>
      <c r="AO52" s="371"/>
      <c r="AP52" s="371"/>
      <c r="AQ52" s="371"/>
      <c r="AR52" s="371"/>
      <c r="AS52" s="371"/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  <c r="BE52" s="209"/>
      <c r="BF52" s="209"/>
      <c r="BG52" s="209"/>
      <c r="BH52" s="209"/>
      <c r="BI52" s="209"/>
      <c r="BJ52" s="209"/>
      <c r="BK52" s="209"/>
      <c r="BL52" s="209"/>
      <c r="BM52" s="209"/>
      <c r="BN52" s="209"/>
      <c r="BO52" s="209"/>
      <c r="BP52" s="209"/>
      <c r="BQ52" s="209"/>
      <c r="BR52" s="209"/>
      <c r="BS52" s="209"/>
      <c r="BT52" s="209"/>
      <c r="BU52" s="209"/>
      <c r="BV52" s="209"/>
      <c r="BW52" s="209"/>
      <c r="BX52" s="209"/>
      <c r="BY52" s="209"/>
      <c r="BZ52" s="209"/>
      <c r="CA52" s="209"/>
      <c r="CB52" s="209"/>
      <c r="CC52" s="209"/>
      <c r="CD52" s="209"/>
      <c r="CE52" s="209"/>
      <c r="CF52" s="209"/>
      <c r="CG52" s="209"/>
      <c r="CH52" s="209"/>
      <c r="CI52" s="209"/>
      <c r="CJ52" s="209"/>
      <c r="CK52" s="209"/>
      <c r="CL52" s="209"/>
      <c r="CM52" s="209"/>
      <c r="CN52" s="209"/>
      <c r="CO52" s="209"/>
      <c r="CP52" s="209"/>
      <c r="CQ52" s="209"/>
      <c r="CR52" s="209"/>
      <c r="CS52" s="209"/>
      <c r="CT52" s="209"/>
      <c r="CU52" s="209"/>
    </row>
    <row r="53" spans="1:99" ht="63" customHeight="1">
      <c r="A53" s="464"/>
      <c r="B53" s="457"/>
      <c r="C53" s="420"/>
      <c r="D53" s="386"/>
      <c r="E53" s="386"/>
      <c r="F53" s="383"/>
      <c r="G53" s="423"/>
      <c r="H53" s="423"/>
      <c r="I53" s="377"/>
      <c r="J53" s="377"/>
      <c r="K53" s="377"/>
      <c r="L53" s="377"/>
      <c r="M53" s="381"/>
      <c r="N53" s="384"/>
      <c r="O53" s="373"/>
      <c r="P53" s="373"/>
      <c r="Q53" s="373"/>
      <c r="R53" s="373"/>
      <c r="S53" s="373"/>
      <c r="T53" s="373"/>
      <c r="U53" s="209"/>
      <c r="V53" s="374"/>
      <c r="W53" s="374"/>
      <c r="X53" s="375"/>
      <c r="Y53" s="374"/>
      <c r="Z53" s="240"/>
      <c r="AA53" s="371"/>
      <c r="AB53" s="371"/>
      <c r="AC53" s="371"/>
      <c r="AD53" s="371"/>
      <c r="AE53" s="371"/>
      <c r="AF53" s="371"/>
      <c r="AG53" s="371"/>
      <c r="AH53" s="371"/>
      <c r="AI53" s="371"/>
      <c r="AJ53" s="371"/>
      <c r="AK53" s="371"/>
      <c r="AL53" s="371"/>
      <c r="AM53" s="371"/>
      <c r="AN53" s="371"/>
      <c r="AO53" s="371"/>
      <c r="AP53" s="371"/>
      <c r="AQ53" s="371"/>
      <c r="AR53" s="371"/>
      <c r="AS53" s="371"/>
      <c r="AT53" s="209"/>
      <c r="AU53" s="209"/>
      <c r="AV53" s="209"/>
      <c r="AW53" s="209"/>
      <c r="AX53" s="209"/>
      <c r="AY53" s="209"/>
      <c r="AZ53" s="209"/>
      <c r="BA53" s="209"/>
      <c r="BB53" s="209"/>
      <c r="BC53" s="209"/>
      <c r="BD53" s="209"/>
      <c r="BE53" s="209"/>
      <c r="BF53" s="209"/>
      <c r="BG53" s="209"/>
      <c r="BH53" s="209"/>
      <c r="BI53" s="209"/>
      <c r="BJ53" s="209"/>
      <c r="BK53" s="209"/>
      <c r="BL53" s="209"/>
      <c r="BM53" s="209"/>
      <c r="BN53" s="209"/>
      <c r="BO53" s="209"/>
      <c r="BP53" s="209"/>
      <c r="BQ53" s="209"/>
      <c r="BR53" s="209"/>
      <c r="BS53" s="209"/>
      <c r="BT53" s="209"/>
      <c r="BU53" s="209"/>
      <c r="BV53" s="209"/>
      <c r="BW53" s="209"/>
      <c r="BX53" s="209"/>
      <c r="BY53" s="209"/>
      <c r="BZ53" s="209"/>
      <c r="CA53" s="209"/>
      <c r="CB53" s="209"/>
      <c r="CC53" s="209"/>
      <c r="CD53" s="209"/>
      <c r="CE53" s="209"/>
      <c r="CF53" s="209"/>
      <c r="CG53" s="209"/>
      <c r="CH53" s="209"/>
      <c r="CI53" s="209"/>
      <c r="CJ53" s="209"/>
      <c r="CK53" s="209"/>
      <c r="CL53" s="209"/>
      <c r="CM53" s="209"/>
      <c r="CN53" s="209"/>
      <c r="CO53" s="209"/>
      <c r="CP53" s="209"/>
      <c r="CQ53" s="209"/>
      <c r="CR53" s="209"/>
      <c r="CS53" s="209"/>
      <c r="CT53" s="209"/>
      <c r="CU53" s="209"/>
    </row>
    <row r="54" spans="1:99" ht="50.1" customHeight="1">
      <c r="A54" s="464"/>
      <c r="B54" s="404" t="s">
        <v>163</v>
      </c>
      <c r="C54" s="421" t="s">
        <v>164</v>
      </c>
      <c r="D54" s="398" t="s">
        <v>165</v>
      </c>
      <c r="E54" s="398" t="s">
        <v>166</v>
      </c>
      <c r="F54" s="394" t="s">
        <v>167</v>
      </c>
      <c r="G54" s="393" t="s">
        <v>87</v>
      </c>
      <c r="H54" s="393" t="s">
        <v>87</v>
      </c>
      <c r="I54" s="394" t="s">
        <v>151</v>
      </c>
      <c r="J54" s="394" t="s">
        <v>168</v>
      </c>
      <c r="K54" s="394" t="s">
        <v>169</v>
      </c>
      <c r="L54" s="394" t="s">
        <v>154</v>
      </c>
      <c r="M54" s="408" t="s">
        <v>170</v>
      </c>
      <c r="N54" s="384" t="s">
        <v>171</v>
      </c>
      <c r="O54" s="373"/>
      <c r="P54" s="373"/>
      <c r="Q54" s="373"/>
      <c r="R54" s="373"/>
      <c r="S54" s="373"/>
      <c r="T54" s="373"/>
      <c r="U54" s="209"/>
      <c r="V54" s="374"/>
      <c r="W54" s="374"/>
      <c r="X54" s="375"/>
      <c r="Y54" s="374"/>
      <c r="Z54" s="240"/>
      <c r="AA54" s="371"/>
      <c r="AB54" s="371"/>
      <c r="AC54" s="371"/>
      <c r="AD54" s="371"/>
      <c r="AE54" s="371"/>
      <c r="AF54" s="371"/>
      <c r="AG54" s="371"/>
      <c r="AH54" s="371"/>
      <c r="AI54" s="371"/>
      <c r="AJ54" s="371"/>
      <c r="AK54" s="371"/>
      <c r="AL54" s="371"/>
      <c r="AM54" s="371"/>
      <c r="AN54" s="371"/>
      <c r="AO54" s="371"/>
      <c r="AP54" s="371"/>
      <c r="AQ54" s="371"/>
      <c r="AR54" s="371"/>
      <c r="AS54" s="371"/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  <c r="BE54" s="209"/>
      <c r="BF54" s="209"/>
      <c r="BG54" s="209"/>
      <c r="BH54" s="209"/>
      <c r="BI54" s="209"/>
      <c r="BJ54" s="209"/>
      <c r="BK54" s="209"/>
      <c r="BL54" s="209"/>
      <c r="BM54" s="209"/>
      <c r="BN54" s="209"/>
      <c r="BO54" s="209"/>
      <c r="BP54" s="209"/>
      <c r="BQ54" s="209"/>
      <c r="BR54" s="209"/>
      <c r="BS54" s="209"/>
      <c r="BT54" s="209"/>
      <c r="BU54" s="209"/>
      <c r="BV54" s="209"/>
      <c r="BW54" s="209"/>
      <c r="BX54" s="209"/>
      <c r="BY54" s="209"/>
      <c r="BZ54" s="209"/>
      <c r="CA54" s="209"/>
      <c r="CB54" s="209"/>
      <c r="CC54" s="209"/>
      <c r="CD54" s="209"/>
      <c r="CE54" s="209"/>
      <c r="CF54" s="209"/>
      <c r="CG54" s="209"/>
      <c r="CH54" s="209"/>
      <c r="CI54" s="209"/>
      <c r="CJ54" s="209"/>
      <c r="CK54" s="209"/>
      <c r="CL54" s="209"/>
      <c r="CM54" s="209"/>
      <c r="CN54" s="209"/>
      <c r="CO54" s="209"/>
      <c r="CP54" s="209"/>
      <c r="CQ54" s="209"/>
      <c r="CR54" s="209"/>
      <c r="CS54" s="209"/>
      <c r="CT54" s="209"/>
      <c r="CU54" s="209"/>
    </row>
    <row r="55" spans="1:99" ht="63" customHeight="1">
      <c r="A55" s="464"/>
      <c r="B55" s="405"/>
      <c r="C55" s="422"/>
      <c r="D55" s="385"/>
      <c r="E55" s="385"/>
      <c r="F55" s="376"/>
      <c r="G55" s="394"/>
      <c r="H55" s="394"/>
      <c r="I55" s="376"/>
      <c r="J55" s="376"/>
      <c r="K55" s="376"/>
      <c r="L55" s="376"/>
      <c r="M55" s="378"/>
      <c r="N55" s="384"/>
      <c r="O55" s="373"/>
      <c r="P55" s="373"/>
      <c r="Q55" s="373"/>
      <c r="R55" s="373"/>
      <c r="S55" s="373"/>
      <c r="T55" s="373"/>
      <c r="U55" s="209"/>
      <c r="V55" s="374"/>
      <c r="W55" s="374"/>
      <c r="X55" s="375"/>
      <c r="Y55" s="374"/>
      <c r="Z55" s="240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371"/>
      <c r="AL55" s="371"/>
      <c r="AM55" s="371"/>
      <c r="AN55" s="371"/>
      <c r="AO55" s="371"/>
      <c r="AP55" s="371"/>
      <c r="AQ55" s="371"/>
      <c r="AR55" s="371"/>
      <c r="AS55" s="371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09"/>
      <c r="BL55" s="209"/>
      <c r="BM55" s="209"/>
      <c r="BN55" s="209"/>
      <c r="BO55" s="209"/>
      <c r="BP55" s="209"/>
      <c r="BQ55" s="209"/>
      <c r="BR55" s="209"/>
      <c r="BS55" s="209"/>
      <c r="BT55" s="209"/>
      <c r="BU55" s="209"/>
      <c r="BV55" s="209"/>
      <c r="BW55" s="209"/>
      <c r="BX55" s="209"/>
      <c r="BY55" s="209"/>
      <c r="BZ55" s="209"/>
      <c r="CA55" s="209"/>
      <c r="CB55" s="209"/>
      <c r="CC55" s="209"/>
      <c r="CD55" s="209"/>
      <c r="CE55" s="209"/>
      <c r="CF55" s="209"/>
      <c r="CG55" s="209"/>
      <c r="CH55" s="209"/>
      <c r="CI55" s="209"/>
      <c r="CJ55" s="209"/>
      <c r="CK55" s="209"/>
      <c r="CL55" s="209"/>
      <c r="CM55" s="209"/>
      <c r="CN55" s="209"/>
      <c r="CO55" s="209"/>
      <c r="CP55" s="209"/>
      <c r="CQ55" s="209"/>
      <c r="CR55" s="209"/>
      <c r="CS55" s="209"/>
      <c r="CT55" s="209"/>
      <c r="CU55" s="209"/>
    </row>
    <row r="56" spans="1:99" ht="50.1" customHeight="1">
      <c r="A56" s="464"/>
      <c r="B56" s="405"/>
      <c r="C56" s="422" t="s">
        <v>172</v>
      </c>
      <c r="D56" s="385" t="s">
        <v>173</v>
      </c>
      <c r="E56" s="385" t="s">
        <v>174</v>
      </c>
      <c r="F56" s="376" t="s">
        <v>167</v>
      </c>
      <c r="G56" s="393" t="s">
        <v>87</v>
      </c>
      <c r="H56" s="393" t="s">
        <v>87</v>
      </c>
      <c r="I56" s="376" t="s">
        <v>151</v>
      </c>
      <c r="J56" s="376" t="s">
        <v>175</v>
      </c>
      <c r="K56" s="376" t="s">
        <v>176</v>
      </c>
      <c r="L56" s="376" t="s">
        <v>154</v>
      </c>
      <c r="M56" s="380" t="s">
        <v>170</v>
      </c>
      <c r="N56" s="384" t="s">
        <v>177</v>
      </c>
      <c r="O56" s="373"/>
      <c r="P56" s="373"/>
      <c r="Q56" s="373"/>
      <c r="R56" s="373"/>
      <c r="S56" s="373"/>
      <c r="T56" s="373"/>
      <c r="U56" s="209"/>
      <c r="V56" s="374"/>
      <c r="W56" s="374"/>
      <c r="X56" s="375"/>
      <c r="Y56" s="374"/>
      <c r="Z56" s="240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  <c r="AK56" s="371"/>
      <c r="AL56" s="371"/>
      <c r="AM56" s="371"/>
      <c r="AN56" s="371"/>
      <c r="AO56" s="371"/>
      <c r="AP56" s="371"/>
      <c r="AQ56" s="371"/>
      <c r="AR56" s="371"/>
      <c r="AS56" s="371"/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09"/>
      <c r="BE56" s="209"/>
      <c r="BF56" s="209"/>
      <c r="BG56" s="209"/>
      <c r="BH56" s="209"/>
      <c r="BI56" s="209"/>
      <c r="BJ56" s="209"/>
      <c r="BK56" s="209"/>
      <c r="BL56" s="209"/>
      <c r="BM56" s="209"/>
      <c r="BN56" s="209"/>
      <c r="BO56" s="209"/>
      <c r="BP56" s="209"/>
      <c r="BQ56" s="209"/>
      <c r="BR56" s="209"/>
      <c r="BS56" s="209"/>
      <c r="BT56" s="209"/>
      <c r="BU56" s="209"/>
      <c r="BV56" s="209"/>
      <c r="BW56" s="209"/>
      <c r="BX56" s="209"/>
      <c r="BY56" s="209"/>
      <c r="BZ56" s="209"/>
      <c r="CA56" s="209"/>
      <c r="CB56" s="209"/>
      <c r="CC56" s="209"/>
      <c r="CD56" s="209"/>
      <c r="CE56" s="209"/>
      <c r="CF56" s="209"/>
      <c r="CG56" s="209"/>
      <c r="CH56" s="209"/>
      <c r="CI56" s="209"/>
      <c r="CJ56" s="209"/>
      <c r="CK56" s="209"/>
      <c r="CL56" s="209"/>
      <c r="CM56" s="209"/>
      <c r="CN56" s="209"/>
      <c r="CO56" s="209"/>
      <c r="CP56" s="209"/>
      <c r="CQ56" s="209"/>
      <c r="CR56" s="209"/>
      <c r="CS56" s="209"/>
      <c r="CT56" s="209"/>
      <c r="CU56" s="209"/>
    </row>
    <row r="57" spans="1:99" ht="73.5" customHeight="1">
      <c r="A57" s="464"/>
      <c r="B57" s="405"/>
      <c r="C57" s="422"/>
      <c r="D57" s="385"/>
      <c r="E57" s="385"/>
      <c r="F57" s="376"/>
      <c r="G57" s="394"/>
      <c r="H57" s="394"/>
      <c r="I57" s="376"/>
      <c r="J57" s="376"/>
      <c r="K57" s="376"/>
      <c r="L57" s="376"/>
      <c r="M57" s="378"/>
      <c r="N57" s="384"/>
      <c r="O57" s="373"/>
      <c r="P57" s="373"/>
      <c r="Q57" s="373"/>
      <c r="R57" s="373"/>
      <c r="S57" s="373"/>
      <c r="T57" s="373"/>
      <c r="U57" s="209"/>
      <c r="V57" s="374"/>
      <c r="W57" s="374"/>
      <c r="X57" s="375"/>
      <c r="Y57" s="374"/>
      <c r="Z57" s="240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371"/>
      <c r="AL57" s="371"/>
      <c r="AM57" s="371"/>
      <c r="AN57" s="371"/>
      <c r="AO57" s="371"/>
      <c r="AP57" s="371"/>
      <c r="AQ57" s="371"/>
      <c r="AR57" s="371"/>
      <c r="AS57" s="371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209"/>
      <c r="BG57" s="209"/>
      <c r="BH57" s="209"/>
      <c r="BI57" s="209"/>
      <c r="BJ57" s="209"/>
      <c r="BK57" s="209"/>
      <c r="BL57" s="209"/>
      <c r="BM57" s="209"/>
      <c r="BN57" s="209"/>
      <c r="BO57" s="209"/>
      <c r="BP57" s="209"/>
      <c r="BQ57" s="209"/>
      <c r="BR57" s="209"/>
      <c r="BS57" s="209"/>
      <c r="BT57" s="209"/>
      <c r="BU57" s="209"/>
      <c r="BV57" s="209"/>
      <c r="BW57" s="209"/>
      <c r="BX57" s="209"/>
      <c r="BY57" s="209"/>
      <c r="BZ57" s="209"/>
      <c r="CA57" s="209"/>
      <c r="CB57" s="209"/>
      <c r="CC57" s="209"/>
      <c r="CD57" s="209"/>
      <c r="CE57" s="209"/>
      <c r="CF57" s="209"/>
      <c r="CG57" s="209"/>
      <c r="CH57" s="209"/>
      <c r="CI57" s="209"/>
      <c r="CJ57" s="209"/>
      <c r="CK57" s="209"/>
      <c r="CL57" s="209"/>
      <c r="CM57" s="209"/>
      <c r="CN57" s="209"/>
      <c r="CO57" s="209"/>
      <c r="CP57" s="209"/>
      <c r="CQ57" s="209"/>
      <c r="CR57" s="209"/>
      <c r="CS57" s="209"/>
      <c r="CT57" s="209"/>
      <c r="CU57" s="209"/>
    </row>
    <row r="58" spans="1:99" ht="50.1" customHeight="1">
      <c r="A58" s="464"/>
      <c r="B58" s="405"/>
      <c r="C58" s="422" t="s">
        <v>178</v>
      </c>
      <c r="D58" s="385" t="s">
        <v>179</v>
      </c>
      <c r="E58" s="385" t="s">
        <v>180</v>
      </c>
      <c r="F58" s="376" t="s">
        <v>167</v>
      </c>
      <c r="G58" s="402" t="s">
        <v>181</v>
      </c>
      <c r="H58" s="402" t="s">
        <v>181</v>
      </c>
      <c r="I58" s="376" t="s">
        <v>151</v>
      </c>
      <c r="J58" s="376" t="s">
        <v>182</v>
      </c>
      <c r="K58" s="376" t="s">
        <v>183</v>
      </c>
      <c r="L58" s="376" t="s">
        <v>154</v>
      </c>
      <c r="M58" s="380" t="s">
        <v>170</v>
      </c>
      <c r="N58" s="384" t="s">
        <v>184</v>
      </c>
      <c r="O58" s="373"/>
      <c r="P58" s="373"/>
      <c r="Q58" s="373"/>
      <c r="R58" s="373"/>
      <c r="S58" s="373"/>
      <c r="T58" s="373"/>
      <c r="U58" s="209"/>
      <c r="V58" s="374"/>
      <c r="W58" s="374"/>
      <c r="X58" s="375"/>
      <c r="Y58" s="374"/>
      <c r="Z58" s="240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  <c r="AK58" s="371"/>
      <c r="AL58" s="371"/>
      <c r="AM58" s="371"/>
      <c r="AN58" s="371"/>
      <c r="AO58" s="371"/>
      <c r="AP58" s="371"/>
      <c r="AQ58" s="371"/>
      <c r="AR58" s="371"/>
      <c r="AS58" s="371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  <c r="BE58" s="209"/>
      <c r="BF58" s="209"/>
      <c r="BG58" s="209"/>
      <c r="BH58" s="209"/>
      <c r="BI58" s="209"/>
      <c r="BJ58" s="209"/>
      <c r="BK58" s="209"/>
      <c r="BL58" s="209"/>
      <c r="BM58" s="209"/>
      <c r="BN58" s="209"/>
      <c r="BO58" s="209"/>
      <c r="BP58" s="209"/>
      <c r="BQ58" s="209"/>
      <c r="BR58" s="209"/>
      <c r="BS58" s="209"/>
      <c r="BT58" s="209"/>
      <c r="BU58" s="209"/>
      <c r="BV58" s="209"/>
      <c r="BW58" s="209"/>
      <c r="BX58" s="209"/>
      <c r="BY58" s="209"/>
      <c r="BZ58" s="209"/>
      <c r="CA58" s="209"/>
      <c r="CB58" s="209"/>
      <c r="CC58" s="209"/>
      <c r="CD58" s="209"/>
      <c r="CE58" s="209"/>
      <c r="CF58" s="209"/>
      <c r="CG58" s="209"/>
      <c r="CH58" s="209"/>
      <c r="CI58" s="209"/>
      <c r="CJ58" s="209"/>
      <c r="CK58" s="209"/>
      <c r="CL58" s="209"/>
      <c r="CM58" s="209"/>
      <c r="CN58" s="209"/>
      <c r="CO58" s="209"/>
      <c r="CP58" s="209"/>
      <c r="CQ58" s="209"/>
      <c r="CR58" s="209"/>
      <c r="CS58" s="209"/>
      <c r="CT58" s="209"/>
      <c r="CU58" s="209"/>
    </row>
    <row r="59" spans="1:99" ht="50.1" customHeight="1">
      <c r="A59" s="464"/>
      <c r="B59" s="405"/>
      <c r="C59" s="422"/>
      <c r="D59" s="385"/>
      <c r="E59" s="385"/>
      <c r="F59" s="376"/>
      <c r="G59" s="393"/>
      <c r="H59" s="393"/>
      <c r="I59" s="376"/>
      <c r="J59" s="376"/>
      <c r="K59" s="376"/>
      <c r="L59" s="376"/>
      <c r="M59" s="378"/>
      <c r="N59" s="384"/>
      <c r="O59" s="373"/>
      <c r="P59" s="373"/>
      <c r="Q59" s="373"/>
      <c r="R59" s="373"/>
      <c r="S59" s="373"/>
      <c r="T59" s="373"/>
      <c r="U59" s="209"/>
      <c r="V59" s="374"/>
      <c r="W59" s="374"/>
      <c r="X59" s="375"/>
      <c r="Y59" s="374"/>
      <c r="Z59" s="240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1"/>
      <c r="AM59" s="371"/>
      <c r="AN59" s="371"/>
      <c r="AO59" s="371"/>
      <c r="AP59" s="371"/>
      <c r="AQ59" s="371"/>
      <c r="AR59" s="371"/>
      <c r="AS59" s="371"/>
      <c r="AT59" s="209"/>
      <c r="AU59" s="209"/>
      <c r="AV59" s="209"/>
      <c r="AW59" s="209"/>
      <c r="AX59" s="209"/>
      <c r="AY59" s="209"/>
      <c r="AZ59" s="209"/>
      <c r="BA59" s="209"/>
      <c r="BB59" s="209"/>
      <c r="BC59" s="209"/>
      <c r="BD59" s="209"/>
      <c r="BE59" s="209"/>
      <c r="BF59" s="209"/>
      <c r="BG59" s="209"/>
      <c r="BH59" s="209"/>
      <c r="BI59" s="209"/>
      <c r="BJ59" s="209"/>
      <c r="BK59" s="209"/>
      <c r="BL59" s="209"/>
      <c r="BM59" s="209"/>
      <c r="BN59" s="209"/>
      <c r="BO59" s="209"/>
      <c r="BP59" s="209"/>
      <c r="BQ59" s="209"/>
      <c r="BR59" s="209"/>
      <c r="BS59" s="209"/>
      <c r="BT59" s="209"/>
      <c r="BU59" s="209"/>
      <c r="BV59" s="209"/>
      <c r="BW59" s="209"/>
      <c r="BX59" s="209"/>
      <c r="BY59" s="209"/>
      <c r="BZ59" s="209"/>
      <c r="CA59" s="209"/>
      <c r="CB59" s="209"/>
      <c r="CC59" s="209"/>
      <c r="CD59" s="209"/>
      <c r="CE59" s="209"/>
      <c r="CF59" s="209"/>
      <c r="CG59" s="209"/>
      <c r="CH59" s="209"/>
      <c r="CI59" s="209"/>
      <c r="CJ59" s="209"/>
      <c r="CK59" s="209"/>
      <c r="CL59" s="209"/>
      <c r="CM59" s="209"/>
      <c r="CN59" s="209"/>
      <c r="CO59" s="209"/>
      <c r="CP59" s="209"/>
      <c r="CQ59" s="209"/>
      <c r="CR59" s="209"/>
      <c r="CS59" s="209"/>
      <c r="CT59" s="209"/>
      <c r="CU59" s="209"/>
    </row>
    <row r="60" spans="1:99" ht="120.75" customHeight="1">
      <c r="A60" s="464"/>
      <c r="B60" s="457"/>
      <c r="C60" s="257" t="s">
        <v>185</v>
      </c>
      <c r="D60" s="249" t="s">
        <v>186</v>
      </c>
      <c r="E60" s="249" t="s">
        <v>187</v>
      </c>
      <c r="F60" s="243" t="s">
        <v>167</v>
      </c>
      <c r="G60" s="243" t="s">
        <v>181</v>
      </c>
      <c r="H60" s="243" t="s">
        <v>181</v>
      </c>
      <c r="I60" s="243" t="s">
        <v>151</v>
      </c>
      <c r="J60" s="243" t="s">
        <v>188</v>
      </c>
      <c r="K60" s="243" t="s">
        <v>189</v>
      </c>
      <c r="L60" s="243" t="s">
        <v>154</v>
      </c>
      <c r="M60" s="254" t="s">
        <v>8</v>
      </c>
      <c r="N60" s="247" t="s">
        <v>190</v>
      </c>
      <c r="O60" s="239"/>
      <c r="P60" s="239"/>
      <c r="Q60" s="239"/>
      <c r="R60" s="239"/>
      <c r="S60" s="239"/>
      <c r="T60" s="239"/>
      <c r="U60" s="209"/>
      <c r="V60" s="240"/>
      <c r="W60" s="240"/>
      <c r="X60" s="241"/>
      <c r="Y60" s="240"/>
      <c r="Z60" s="240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09"/>
      <c r="BG60" s="209"/>
      <c r="BH60" s="209"/>
      <c r="BI60" s="209"/>
      <c r="BJ60" s="209"/>
      <c r="BK60" s="209"/>
      <c r="BL60" s="209"/>
      <c r="BM60" s="209"/>
      <c r="BN60" s="209"/>
      <c r="BO60" s="209"/>
      <c r="BP60" s="209"/>
      <c r="BQ60" s="209"/>
      <c r="BR60" s="209"/>
      <c r="BS60" s="209"/>
      <c r="BT60" s="209"/>
      <c r="BU60" s="209"/>
      <c r="BV60" s="209"/>
      <c r="BW60" s="209"/>
      <c r="BX60" s="209"/>
      <c r="BY60" s="209"/>
      <c r="BZ60" s="209"/>
      <c r="CA60" s="209"/>
      <c r="CB60" s="209"/>
      <c r="CC60" s="209"/>
      <c r="CD60" s="209"/>
      <c r="CE60" s="209"/>
      <c r="CF60" s="209"/>
      <c r="CG60" s="209"/>
      <c r="CH60" s="209"/>
      <c r="CI60" s="209"/>
      <c r="CJ60" s="209"/>
      <c r="CK60" s="209"/>
      <c r="CL60" s="209"/>
      <c r="CM60" s="209"/>
      <c r="CN60" s="209"/>
      <c r="CO60" s="209"/>
      <c r="CP60" s="209"/>
      <c r="CQ60" s="209"/>
      <c r="CR60" s="209"/>
      <c r="CS60" s="209"/>
      <c r="CT60" s="209"/>
      <c r="CU60" s="209"/>
    </row>
    <row r="61" spans="1:99" ht="50.1" customHeight="1">
      <c r="A61" s="464"/>
      <c r="B61" s="458" t="s">
        <v>191</v>
      </c>
      <c r="C61" s="396" t="s">
        <v>192</v>
      </c>
      <c r="D61" s="398" t="s">
        <v>193</v>
      </c>
      <c r="E61" s="398" t="s">
        <v>194</v>
      </c>
      <c r="F61" s="394" t="s">
        <v>195</v>
      </c>
      <c r="G61" s="393" t="s">
        <v>87</v>
      </c>
      <c r="H61" s="393" t="s">
        <v>87</v>
      </c>
      <c r="I61" s="394" t="s">
        <v>151</v>
      </c>
      <c r="J61" s="394" t="s">
        <v>168</v>
      </c>
      <c r="K61" s="394" t="s">
        <v>169</v>
      </c>
      <c r="L61" s="394" t="s">
        <v>154</v>
      </c>
      <c r="M61" s="378" t="s">
        <v>8</v>
      </c>
      <c r="N61" s="384" t="s">
        <v>196</v>
      </c>
      <c r="O61" s="373"/>
      <c r="P61" s="373"/>
      <c r="Q61" s="373"/>
      <c r="R61" s="373"/>
      <c r="S61" s="373"/>
      <c r="T61" s="373"/>
      <c r="U61" s="209"/>
      <c r="V61" s="374"/>
      <c r="W61" s="374"/>
      <c r="X61" s="375"/>
      <c r="Y61" s="374"/>
      <c r="Z61" s="240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209"/>
      <c r="AU61" s="209"/>
      <c r="AV61" s="209"/>
      <c r="AW61" s="209"/>
      <c r="AX61" s="209"/>
      <c r="AY61" s="209"/>
      <c r="AZ61" s="209"/>
      <c r="BA61" s="209"/>
      <c r="BB61" s="209"/>
      <c r="BC61" s="209"/>
      <c r="BD61" s="209"/>
      <c r="BE61" s="209"/>
      <c r="BF61" s="209"/>
      <c r="BG61" s="209"/>
      <c r="BH61" s="209"/>
      <c r="BI61" s="209"/>
      <c r="BJ61" s="209"/>
      <c r="BK61" s="209"/>
      <c r="BL61" s="209"/>
      <c r="BM61" s="209"/>
      <c r="BN61" s="209"/>
      <c r="BO61" s="209"/>
      <c r="BP61" s="209"/>
      <c r="BQ61" s="209"/>
      <c r="BR61" s="209"/>
      <c r="BS61" s="209"/>
      <c r="BT61" s="209"/>
      <c r="BU61" s="209"/>
      <c r="BV61" s="209"/>
      <c r="BW61" s="209"/>
      <c r="BX61" s="209"/>
      <c r="BY61" s="209"/>
      <c r="BZ61" s="209"/>
      <c r="CA61" s="209"/>
      <c r="CB61" s="209"/>
      <c r="CC61" s="209"/>
      <c r="CD61" s="209"/>
      <c r="CE61" s="209"/>
      <c r="CF61" s="209"/>
      <c r="CG61" s="209"/>
      <c r="CH61" s="209"/>
      <c r="CI61" s="209"/>
      <c r="CJ61" s="209"/>
      <c r="CK61" s="209"/>
      <c r="CL61" s="209"/>
      <c r="CM61" s="209"/>
      <c r="CN61" s="209"/>
      <c r="CO61" s="209"/>
      <c r="CP61" s="209"/>
      <c r="CQ61" s="209"/>
      <c r="CR61" s="209"/>
      <c r="CS61" s="209"/>
      <c r="CT61" s="209"/>
      <c r="CU61" s="209"/>
    </row>
    <row r="62" spans="1:99" ht="50.1" customHeight="1">
      <c r="A62" s="464"/>
      <c r="B62" s="459"/>
      <c r="C62" s="424"/>
      <c r="D62" s="385"/>
      <c r="E62" s="385"/>
      <c r="F62" s="376"/>
      <c r="G62" s="394"/>
      <c r="H62" s="394"/>
      <c r="I62" s="376"/>
      <c r="J62" s="376"/>
      <c r="K62" s="376"/>
      <c r="L62" s="376"/>
      <c r="M62" s="379"/>
      <c r="N62" s="384"/>
      <c r="O62" s="373"/>
      <c r="P62" s="373"/>
      <c r="Q62" s="373"/>
      <c r="R62" s="373"/>
      <c r="S62" s="373"/>
      <c r="T62" s="373"/>
      <c r="U62" s="209"/>
      <c r="V62" s="374"/>
      <c r="W62" s="374"/>
      <c r="X62" s="375"/>
      <c r="Y62" s="374"/>
      <c r="Z62" s="240"/>
      <c r="AA62" s="371"/>
      <c r="AB62" s="371"/>
      <c r="AC62" s="371"/>
      <c r="AD62" s="371"/>
      <c r="AE62" s="371"/>
      <c r="AF62" s="371"/>
      <c r="AG62" s="371"/>
      <c r="AH62" s="371"/>
      <c r="AI62" s="371"/>
      <c r="AJ62" s="371"/>
      <c r="AK62" s="371"/>
      <c r="AL62" s="371"/>
      <c r="AM62" s="371"/>
      <c r="AN62" s="371"/>
      <c r="AO62" s="371"/>
      <c r="AP62" s="371"/>
      <c r="AQ62" s="371"/>
      <c r="AR62" s="371"/>
      <c r="AS62" s="371"/>
      <c r="AT62" s="209"/>
      <c r="AU62" s="209"/>
      <c r="AV62" s="209"/>
      <c r="AW62" s="209"/>
      <c r="AX62" s="209"/>
      <c r="AY62" s="209"/>
      <c r="AZ62" s="209"/>
      <c r="BA62" s="209"/>
      <c r="BB62" s="209"/>
      <c r="BC62" s="209"/>
      <c r="BD62" s="209"/>
      <c r="BE62" s="209"/>
      <c r="BF62" s="209"/>
      <c r="BG62" s="209"/>
      <c r="BH62" s="209"/>
      <c r="BI62" s="209"/>
      <c r="BJ62" s="209"/>
      <c r="BK62" s="209"/>
      <c r="BL62" s="209"/>
      <c r="BM62" s="209"/>
      <c r="BN62" s="209"/>
      <c r="BO62" s="209"/>
      <c r="BP62" s="209"/>
      <c r="BQ62" s="209"/>
      <c r="BR62" s="209"/>
      <c r="BS62" s="209"/>
      <c r="BT62" s="209"/>
      <c r="BU62" s="209"/>
      <c r="BV62" s="209"/>
      <c r="BW62" s="209"/>
      <c r="BX62" s="209"/>
      <c r="BY62" s="209"/>
      <c r="BZ62" s="209"/>
      <c r="CA62" s="209"/>
      <c r="CB62" s="209"/>
      <c r="CC62" s="209"/>
      <c r="CD62" s="209"/>
      <c r="CE62" s="209"/>
      <c r="CF62" s="209"/>
      <c r="CG62" s="209"/>
      <c r="CH62" s="209"/>
      <c r="CI62" s="209"/>
      <c r="CJ62" s="209"/>
      <c r="CK62" s="209"/>
      <c r="CL62" s="209"/>
      <c r="CM62" s="209"/>
      <c r="CN62" s="209"/>
      <c r="CO62" s="209"/>
      <c r="CP62" s="209"/>
      <c r="CQ62" s="209"/>
      <c r="CR62" s="209"/>
      <c r="CS62" s="209"/>
      <c r="CT62" s="209"/>
      <c r="CU62" s="209"/>
    </row>
    <row r="63" spans="1:99" ht="50.1" customHeight="1">
      <c r="A63" s="464"/>
      <c r="B63" s="459"/>
      <c r="C63" s="422" t="s">
        <v>197</v>
      </c>
      <c r="D63" s="385" t="s">
        <v>198</v>
      </c>
      <c r="E63" s="385" t="s">
        <v>199</v>
      </c>
      <c r="F63" s="376" t="s">
        <v>195</v>
      </c>
      <c r="G63" s="393" t="s">
        <v>87</v>
      </c>
      <c r="H63" s="393" t="s">
        <v>87</v>
      </c>
      <c r="I63" s="376" t="s">
        <v>151</v>
      </c>
      <c r="J63" s="382" t="s">
        <v>200</v>
      </c>
      <c r="K63" s="382" t="s">
        <v>201</v>
      </c>
      <c r="L63" s="376" t="s">
        <v>154</v>
      </c>
      <c r="M63" s="379" t="s">
        <v>8</v>
      </c>
      <c r="N63" s="384" t="s">
        <v>202</v>
      </c>
      <c r="O63" s="373"/>
      <c r="P63" s="373"/>
      <c r="Q63" s="373"/>
      <c r="R63" s="373"/>
      <c r="S63" s="373"/>
      <c r="T63" s="373"/>
      <c r="U63" s="209"/>
      <c r="V63" s="374"/>
      <c r="W63" s="374"/>
      <c r="X63" s="375"/>
      <c r="Y63" s="374"/>
      <c r="Z63" s="240"/>
      <c r="AA63" s="371"/>
      <c r="AB63" s="371"/>
      <c r="AC63" s="371"/>
      <c r="AD63" s="371"/>
      <c r="AE63" s="371"/>
      <c r="AF63" s="371"/>
      <c r="AG63" s="371"/>
      <c r="AH63" s="371"/>
      <c r="AI63" s="371"/>
      <c r="AJ63" s="371"/>
      <c r="AK63" s="371"/>
      <c r="AL63" s="371"/>
      <c r="AM63" s="371"/>
      <c r="AN63" s="371"/>
      <c r="AO63" s="371"/>
      <c r="AP63" s="371"/>
      <c r="AQ63" s="371"/>
      <c r="AR63" s="371"/>
      <c r="AS63" s="371"/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  <c r="BE63" s="209"/>
      <c r="BF63" s="209"/>
      <c r="BG63" s="209"/>
      <c r="BH63" s="209"/>
      <c r="BI63" s="209"/>
      <c r="BJ63" s="209"/>
      <c r="BK63" s="209"/>
      <c r="BL63" s="209"/>
      <c r="BM63" s="209"/>
      <c r="BN63" s="209"/>
      <c r="BO63" s="209"/>
      <c r="BP63" s="209"/>
      <c r="BQ63" s="209"/>
      <c r="BR63" s="209"/>
      <c r="BS63" s="209"/>
      <c r="BT63" s="209"/>
      <c r="BU63" s="209"/>
      <c r="BV63" s="209"/>
      <c r="BW63" s="209"/>
      <c r="BX63" s="209"/>
      <c r="BY63" s="209"/>
      <c r="BZ63" s="209"/>
      <c r="CA63" s="209"/>
      <c r="CB63" s="209"/>
      <c r="CC63" s="209"/>
      <c r="CD63" s="209"/>
      <c r="CE63" s="209"/>
      <c r="CF63" s="209"/>
      <c r="CG63" s="209"/>
      <c r="CH63" s="209"/>
      <c r="CI63" s="209"/>
      <c r="CJ63" s="209"/>
      <c r="CK63" s="209"/>
      <c r="CL63" s="209"/>
      <c r="CM63" s="209"/>
      <c r="CN63" s="209"/>
      <c r="CO63" s="209"/>
      <c r="CP63" s="209"/>
      <c r="CQ63" s="209"/>
      <c r="CR63" s="209"/>
      <c r="CS63" s="209"/>
      <c r="CT63" s="209"/>
      <c r="CU63" s="209"/>
    </row>
    <row r="64" spans="1:99" ht="50.1" customHeight="1">
      <c r="A64" s="464"/>
      <c r="B64" s="459"/>
      <c r="C64" s="422"/>
      <c r="D64" s="385"/>
      <c r="E64" s="385"/>
      <c r="F64" s="376"/>
      <c r="G64" s="394"/>
      <c r="H64" s="394"/>
      <c r="I64" s="376"/>
      <c r="J64" s="382"/>
      <c r="K64" s="382"/>
      <c r="L64" s="376"/>
      <c r="M64" s="379"/>
      <c r="N64" s="384"/>
      <c r="O64" s="373"/>
      <c r="P64" s="373"/>
      <c r="Q64" s="373"/>
      <c r="R64" s="373"/>
      <c r="S64" s="373"/>
      <c r="T64" s="373"/>
      <c r="U64" s="209"/>
      <c r="V64" s="374"/>
      <c r="W64" s="374"/>
      <c r="X64" s="375"/>
      <c r="Y64" s="374"/>
      <c r="Z64" s="240"/>
      <c r="AA64" s="371"/>
      <c r="AB64" s="371"/>
      <c r="AC64" s="371"/>
      <c r="AD64" s="371"/>
      <c r="AE64" s="371"/>
      <c r="AF64" s="371"/>
      <c r="AG64" s="371"/>
      <c r="AH64" s="371"/>
      <c r="AI64" s="371"/>
      <c r="AJ64" s="371"/>
      <c r="AK64" s="371"/>
      <c r="AL64" s="371"/>
      <c r="AM64" s="371"/>
      <c r="AN64" s="371"/>
      <c r="AO64" s="371"/>
      <c r="AP64" s="371"/>
      <c r="AQ64" s="371"/>
      <c r="AR64" s="371"/>
      <c r="AS64" s="371"/>
      <c r="AT64" s="209"/>
      <c r="AU64" s="209"/>
      <c r="AV64" s="209"/>
      <c r="AW64" s="209"/>
      <c r="AX64" s="209"/>
      <c r="AY64" s="209"/>
      <c r="AZ64" s="209"/>
      <c r="BA64" s="209"/>
      <c r="BB64" s="209"/>
      <c r="BC64" s="209"/>
      <c r="BD64" s="209"/>
      <c r="BE64" s="209"/>
      <c r="BF64" s="209"/>
      <c r="BG64" s="209"/>
      <c r="BH64" s="209"/>
      <c r="BI64" s="209"/>
      <c r="BJ64" s="209"/>
      <c r="BK64" s="209"/>
      <c r="BL64" s="209"/>
      <c r="BM64" s="209"/>
      <c r="BN64" s="209"/>
      <c r="BO64" s="209"/>
      <c r="BP64" s="209"/>
      <c r="BQ64" s="209"/>
      <c r="BR64" s="209"/>
      <c r="BS64" s="209"/>
      <c r="BT64" s="209"/>
      <c r="BU64" s="209"/>
      <c r="BV64" s="209"/>
      <c r="BW64" s="209"/>
      <c r="BX64" s="209"/>
      <c r="BY64" s="209"/>
      <c r="BZ64" s="209"/>
      <c r="CA64" s="209"/>
      <c r="CB64" s="209"/>
      <c r="CC64" s="209"/>
      <c r="CD64" s="209"/>
      <c r="CE64" s="209"/>
      <c r="CF64" s="209"/>
      <c r="CG64" s="209"/>
      <c r="CH64" s="209"/>
      <c r="CI64" s="209"/>
      <c r="CJ64" s="209"/>
      <c r="CK64" s="209"/>
      <c r="CL64" s="209"/>
      <c r="CM64" s="209"/>
      <c r="CN64" s="209"/>
      <c r="CO64" s="209"/>
      <c r="CP64" s="209"/>
      <c r="CQ64" s="209"/>
      <c r="CR64" s="209"/>
      <c r="CS64" s="209"/>
      <c r="CT64" s="209"/>
      <c r="CU64" s="209"/>
    </row>
    <row r="65" spans="1:99" ht="50.1" customHeight="1">
      <c r="A65" s="464"/>
      <c r="B65" s="459"/>
      <c r="C65" s="419" t="s">
        <v>203</v>
      </c>
      <c r="D65" s="385" t="s">
        <v>204</v>
      </c>
      <c r="E65" s="385" t="s">
        <v>205</v>
      </c>
      <c r="F65" s="376" t="s">
        <v>195</v>
      </c>
      <c r="G65" s="402" t="s">
        <v>87</v>
      </c>
      <c r="H65" s="402" t="s">
        <v>87</v>
      </c>
      <c r="I65" s="376" t="s">
        <v>151</v>
      </c>
      <c r="J65" s="382" t="s">
        <v>206</v>
      </c>
      <c r="K65" s="382" t="s">
        <v>207</v>
      </c>
      <c r="L65" s="376" t="s">
        <v>154</v>
      </c>
      <c r="M65" s="379" t="s">
        <v>8</v>
      </c>
      <c r="N65" s="384" t="s">
        <v>208</v>
      </c>
      <c r="O65" s="373"/>
      <c r="P65" s="373"/>
      <c r="Q65" s="373"/>
      <c r="R65" s="373"/>
      <c r="S65" s="373"/>
      <c r="T65" s="373"/>
      <c r="U65" s="209"/>
      <c r="V65" s="374"/>
      <c r="W65" s="374"/>
      <c r="X65" s="375"/>
      <c r="Y65" s="374"/>
      <c r="Z65" s="240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371"/>
      <c r="AL65" s="371"/>
      <c r="AM65" s="371"/>
      <c r="AN65" s="371"/>
      <c r="AO65" s="371"/>
      <c r="AP65" s="371"/>
      <c r="AQ65" s="371"/>
      <c r="AR65" s="371"/>
      <c r="AS65" s="371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209"/>
      <c r="BG65" s="209"/>
      <c r="BH65" s="209"/>
      <c r="BI65" s="209"/>
      <c r="BJ65" s="209"/>
      <c r="BK65" s="209"/>
      <c r="BL65" s="209"/>
      <c r="BM65" s="209"/>
      <c r="BN65" s="209"/>
      <c r="BO65" s="209"/>
      <c r="BP65" s="209"/>
      <c r="BQ65" s="209"/>
      <c r="BR65" s="209"/>
      <c r="BS65" s="209"/>
      <c r="BT65" s="209"/>
      <c r="BU65" s="209"/>
      <c r="BV65" s="209"/>
      <c r="BW65" s="209"/>
      <c r="BX65" s="209"/>
      <c r="BY65" s="209"/>
      <c r="BZ65" s="209"/>
      <c r="CA65" s="209"/>
      <c r="CB65" s="209"/>
      <c r="CC65" s="209"/>
      <c r="CD65" s="209"/>
      <c r="CE65" s="209"/>
      <c r="CF65" s="209"/>
      <c r="CG65" s="209"/>
      <c r="CH65" s="209"/>
      <c r="CI65" s="209"/>
      <c r="CJ65" s="209"/>
      <c r="CK65" s="209"/>
      <c r="CL65" s="209"/>
      <c r="CM65" s="209"/>
      <c r="CN65" s="209"/>
      <c r="CO65" s="209"/>
      <c r="CP65" s="209"/>
      <c r="CQ65" s="209"/>
      <c r="CR65" s="209"/>
      <c r="CS65" s="209"/>
      <c r="CT65" s="209"/>
      <c r="CU65" s="209"/>
    </row>
    <row r="66" spans="1:99" ht="50.1" customHeight="1">
      <c r="A66" s="464"/>
      <c r="B66" s="460"/>
      <c r="C66" s="420"/>
      <c r="D66" s="386"/>
      <c r="E66" s="386"/>
      <c r="F66" s="377"/>
      <c r="G66" s="423"/>
      <c r="H66" s="423"/>
      <c r="I66" s="377"/>
      <c r="J66" s="383"/>
      <c r="K66" s="383"/>
      <c r="L66" s="377"/>
      <c r="M66" s="409"/>
      <c r="N66" s="384"/>
      <c r="O66" s="373"/>
      <c r="P66" s="373"/>
      <c r="Q66" s="373"/>
      <c r="R66" s="373"/>
      <c r="S66" s="373"/>
      <c r="T66" s="373"/>
      <c r="U66" s="209"/>
      <c r="V66" s="374"/>
      <c r="W66" s="374"/>
      <c r="X66" s="375"/>
      <c r="Y66" s="374"/>
      <c r="Z66" s="240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371"/>
      <c r="AL66" s="371"/>
      <c r="AM66" s="371"/>
      <c r="AN66" s="371"/>
      <c r="AO66" s="371"/>
      <c r="AP66" s="371"/>
      <c r="AQ66" s="371"/>
      <c r="AR66" s="371"/>
      <c r="AS66" s="371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/>
      <c r="BF66" s="209"/>
      <c r="BG66" s="209"/>
      <c r="BH66" s="209"/>
      <c r="BI66" s="209"/>
      <c r="BJ66" s="209"/>
      <c r="BK66" s="209"/>
      <c r="BL66" s="209"/>
      <c r="BM66" s="209"/>
      <c r="BN66" s="209"/>
      <c r="BO66" s="209"/>
      <c r="BP66" s="209"/>
      <c r="BQ66" s="209"/>
      <c r="BR66" s="209"/>
      <c r="BS66" s="209"/>
      <c r="BT66" s="209"/>
      <c r="BU66" s="209"/>
      <c r="BV66" s="209"/>
      <c r="BW66" s="209"/>
      <c r="BX66" s="209"/>
      <c r="BY66" s="209"/>
      <c r="BZ66" s="209"/>
      <c r="CA66" s="209"/>
      <c r="CB66" s="209"/>
      <c r="CC66" s="209"/>
      <c r="CD66" s="209"/>
      <c r="CE66" s="209"/>
      <c r="CF66" s="209"/>
      <c r="CG66" s="209"/>
      <c r="CH66" s="209"/>
      <c r="CI66" s="209"/>
      <c r="CJ66" s="209"/>
      <c r="CK66" s="209"/>
      <c r="CL66" s="209"/>
      <c r="CM66" s="209"/>
      <c r="CN66" s="209"/>
      <c r="CO66" s="209"/>
      <c r="CP66" s="209"/>
      <c r="CQ66" s="209"/>
      <c r="CR66" s="209"/>
      <c r="CS66" s="209"/>
      <c r="CT66" s="209"/>
      <c r="CU66" s="209"/>
    </row>
    <row r="67" spans="1:99" ht="50.1" customHeight="1">
      <c r="A67" s="464"/>
      <c r="B67" s="458" t="s">
        <v>209</v>
      </c>
      <c r="C67" s="421" t="s">
        <v>164</v>
      </c>
      <c r="D67" s="398" t="s">
        <v>193</v>
      </c>
      <c r="E67" s="398" t="s">
        <v>194</v>
      </c>
      <c r="F67" s="394" t="s">
        <v>6</v>
      </c>
      <c r="G67" s="403" t="s">
        <v>87</v>
      </c>
      <c r="H67" s="394" t="s">
        <v>87</v>
      </c>
      <c r="I67" s="394" t="s">
        <v>151</v>
      </c>
      <c r="J67" s="425" t="s">
        <v>168</v>
      </c>
      <c r="K67" s="425" t="s">
        <v>169</v>
      </c>
      <c r="L67" s="394" t="s">
        <v>154</v>
      </c>
      <c r="M67" s="378" t="s">
        <v>6</v>
      </c>
      <c r="N67" s="384" t="s">
        <v>210</v>
      </c>
      <c r="O67" s="373"/>
      <c r="P67" s="373"/>
      <c r="Q67" s="373"/>
      <c r="R67" s="373"/>
      <c r="S67" s="373"/>
      <c r="T67" s="373"/>
      <c r="U67" s="209"/>
      <c r="V67" s="374"/>
      <c r="W67" s="374"/>
      <c r="X67" s="375"/>
      <c r="Y67" s="374"/>
      <c r="Z67" s="240"/>
      <c r="AA67" s="371"/>
      <c r="AB67" s="371"/>
      <c r="AC67" s="371"/>
      <c r="AD67" s="371"/>
      <c r="AE67" s="371"/>
      <c r="AF67" s="371"/>
      <c r="AG67" s="371"/>
      <c r="AH67" s="371"/>
      <c r="AI67" s="371"/>
      <c r="AJ67" s="371"/>
      <c r="AK67" s="371"/>
      <c r="AL67" s="371"/>
      <c r="AM67" s="371"/>
      <c r="AN67" s="371"/>
      <c r="AO67" s="371"/>
      <c r="AP67" s="371"/>
      <c r="AQ67" s="371"/>
      <c r="AR67" s="371"/>
      <c r="AS67" s="371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209"/>
      <c r="BG67" s="209"/>
      <c r="BH67" s="209"/>
      <c r="BI67" s="209"/>
      <c r="BJ67" s="209"/>
      <c r="BK67" s="209"/>
      <c r="BL67" s="209"/>
      <c r="BM67" s="209"/>
      <c r="BN67" s="209"/>
      <c r="BO67" s="209"/>
      <c r="BP67" s="209"/>
      <c r="BQ67" s="209"/>
      <c r="BR67" s="209"/>
      <c r="BS67" s="209"/>
      <c r="BT67" s="209"/>
      <c r="BU67" s="209"/>
      <c r="BV67" s="209"/>
      <c r="BW67" s="209"/>
      <c r="BX67" s="209"/>
      <c r="BY67" s="209"/>
      <c r="BZ67" s="209"/>
      <c r="CA67" s="209"/>
      <c r="CB67" s="209"/>
      <c r="CC67" s="209"/>
      <c r="CD67" s="209"/>
      <c r="CE67" s="209"/>
      <c r="CF67" s="209"/>
      <c r="CG67" s="209"/>
      <c r="CH67" s="209"/>
      <c r="CI67" s="209"/>
      <c r="CJ67" s="209"/>
      <c r="CK67" s="209"/>
      <c r="CL67" s="209"/>
      <c r="CM67" s="209"/>
      <c r="CN67" s="209"/>
      <c r="CO67" s="209"/>
      <c r="CP67" s="209"/>
      <c r="CQ67" s="209"/>
      <c r="CR67" s="209"/>
      <c r="CS67" s="209"/>
      <c r="CT67" s="209"/>
      <c r="CU67" s="209"/>
    </row>
    <row r="68" spans="1:99" ht="50.1" customHeight="1">
      <c r="A68" s="464"/>
      <c r="B68" s="459"/>
      <c r="C68" s="422"/>
      <c r="D68" s="385"/>
      <c r="E68" s="385"/>
      <c r="F68" s="376"/>
      <c r="G68" s="394"/>
      <c r="H68" s="376"/>
      <c r="I68" s="376"/>
      <c r="J68" s="382"/>
      <c r="K68" s="382"/>
      <c r="L68" s="376"/>
      <c r="M68" s="379"/>
      <c r="N68" s="384"/>
      <c r="O68" s="373"/>
      <c r="P68" s="373"/>
      <c r="Q68" s="373"/>
      <c r="R68" s="373"/>
      <c r="S68" s="373"/>
      <c r="T68" s="373"/>
      <c r="U68" s="209"/>
      <c r="V68" s="374"/>
      <c r="W68" s="374"/>
      <c r="X68" s="375"/>
      <c r="Y68" s="374"/>
      <c r="Z68" s="240"/>
      <c r="AA68" s="371"/>
      <c r="AB68" s="371"/>
      <c r="AC68" s="371"/>
      <c r="AD68" s="371"/>
      <c r="AE68" s="371"/>
      <c r="AF68" s="371"/>
      <c r="AG68" s="371"/>
      <c r="AH68" s="371"/>
      <c r="AI68" s="371"/>
      <c r="AJ68" s="371"/>
      <c r="AK68" s="371"/>
      <c r="AL68" s="371"/>
      <c r="AM68" s="371"/>
      <c r="AN68" s="371"/>
      <c r="AO68" s="371"/>
      <c r="AP68" s="371"/>
      <c r="AQ68" s="371"/>
      <c r="AR68" s="371"/>
      <c r="AS68" s="371"/>
      <c r="AT68" s="209"/>
      <c r="AU68" s="209"/>
      <c r="AV68" s="209"/>
      <c r="AW68" s="209"/>
      <c r="AX68" s="209"/>
      <c r="AY68" s="209"/>
      <c r="AZ68" s="209"/>
      <c r="BA68" s="209"/>
      <c r="BB68" s="209"/>
      <c r="BC68" s="209"/>
      <c r="BD68" s="209"/>
      <c r="BE68" s="209"/>
      <c r="BF68" s="209"/>
      <c r="BG68" s="209"/>
      <c r="BH68" s="209"/>
      <c r="BI68" s="209"/>
      <c r="BJ68" s="209"/>
      <c r="BK68" s="209"/>
      <c r="BL68" s="209"/>
      <c r="BM68" s="209"/>
      <c r="BN68" s="209"/>
      <c r="BO68" s="209"/>
      <c r="BP68" s="209"/>
      <c r="BQ68" s="209"/>
      <c r="BR68" s="209"/>
      <c r="BS68" s="209"/>
      <c r="BT68" s="209"/>
      <c r="BU68" s="209"/>
      <c r="BV68" s="209"/>
      <c r="BW68" s="209"/>
      <c r="BX68" s="209"/>
      <c r="BY68" s="209"/>
      <c r="BZ68" s="209"/>
      <c r="CA68" s="209"/>
      <c r="CB68" s="209"/>
      <c r="CC68" s="209"/>
      <c r="CD68" s="209"/>
      <c r="CE68" s="209"/>
      <c r="CF68" s="209"/>
      <c r="CG68" s="209"/>
      <c r="CH68" s="209"/>
      <c r="CI68" s="209"/>
      <c r="CJ68" s="209"/>
      <c r="CK68" s="209"/>
      <c r="CL68" s="209"/>
      <c r="CM68" s="209"/>
      <c r="CN68" s="209"/>
      <c r="CO68" s="209"/>
      <c r="CP68" s="209"/>
      <c r="CQ68" s="209"/>
      <c r="CR68" s="209"/>
      <c r="CS68" s="209"/>
      <c r="CT68" s="209"/>
      <c r="CU68" s="209"/>
    </row>
    <row r="69" spans="1:99" ht="50.1" customHeight="1">
      <c r="A69" s="464"/>
      <c r="B69" s="459"/>
      <c r="C69" s="422" t="s">
        <v>211</v>
      </c>
      <c r="D69" s="385" t="s">
        <v>212</v>
      </c>
      <c r="E69" s="385" t="s">
        <v>213</v>
      </c>
      <c r="F69" s="376" t="s">
        <v>6</v>
      </c>
      <c r="G69" s="393" t="s">
        <v>87</v>
      </c>
      <c r="H69" s="376" t="s">
        <v>87</v>
      </c>
      <c r="I69" s="376" t="s">
        <v>151</v>
      </c>
      <c r="J69" s="382" t="s">
        <v>214</v>
      </c>
      <c r="K69" s="382" t="s">
        <v>215</v>
      </c>
      <c r="L69" s="376" t="s">
        <v>154</v>
      </c>
      <c r="M69" s="379" t="s">
        <v>6</v>
      </c>
      <c r="N69" s="387" t="s">
        <v>216</v>
      </c>
      <c r="O69" s="373"/>
      <c r="P69" s="373"/>
      <c r="Q69" s="373"/>
      <c r="R69" s="373"/>
      <c r="S69" s="373"/>
      <c r="T69" s="373"/>
      <c r="U69" s="209"/>
      <c r="V69" s="374"/>
      <c r="W69" s="374"/>
      <c r="X69" s="375"/>
      <c r="Y69" s="374"/>
      <c r="Z69" s="240"/>
      <c r="AA69" s="371"/>
      <c r="AB69" s="371"/>
      <c r="AC69" s="371"/>
      <c r="AD69" s="371"/>
      <c r="AE69" s="371"/>
      <c r="AF69" s="371"/>
      <c r="AG69" s="371"/>
      <c r="AH69" s="371"/>
      <c r="AI69" s="371"/>
      <c r="AJ69" s="371"/>
      <c r="AK69" s="371"/>
      <c r="AL69" s="371"/>
      <c r="AM69" s="371"/>
      <c r="AN69" s="371"/>
      <c r="AO69" s="371"/>
      <c r="AP69" s="371"/>
      <c r="AQ69" s="371"/>
      <c r="AR69" s="371"/>
      <c r="AS69" s="371"/>
      <c r="AT69" s="209"/>
      <c r="AU69" s="209"/>
      <c r="AV69" s="209"/>
      <c r="AW69" s="209"/>
      <c r="AX69" s="209"/>
      <c r="AY69" s="209"/>
      <c r="AZ69" s="209"/>
      <c r="BA69" s="209"/>
      <c r="BB69" s="209"/>
      <c r="BC69" s="209"/>
      <c r="BD69" s="209"/>
      <c r="BE69" s="209"/>
      <c r="BF69" s="209"/>
      <c r="BG69" s="209"/>
      <c r="BH69" s="209"/>
      <c r="BI69" s="209"/>
      <c r="BJ69" s="209"/>
      <c r="BK69" s="209"/>
      <c r="BL69" s="209"/>
      <c r="BM69" s="209"/>
      <c r="BN69" s="209"/>
      <c r="BO69" s="209"/>
      <c r="BP69" s="209"/>
      <c r="BQ69" s="209"/>
      <c r="BR69" s="209"/>
      <c r="BS69" s="209"/>
      <c r="BT69" s="209"/>
      <c r="BU69" s="209"/>
      <c r="BV69" s="209"/>
      <c r="BW69" s="209"/>
      <c r="BX69" s="209"/>
      <c r="BY69" s="209"/>
      <c r="BZ69" s="209"/>
      <c r="CA69" s="209"/>
      <c r="CB69" s="209"/>
      <c r="CC69" s="209"/>
      <c r="CD69" s="209"/>
      <c r="CE69" s="209"/>
      <c r="CF69" s="209"/>
      <c r="CG69" s="209"/>
      <c r="CH69" s="209"/>
      <c r="CI69" s="209"/>
      <c r="CJ69" s="209"/>
      <c r="CK69" s="209"/>
      <c r="CL69" s="209"/>
      <c r="CM69" s="209"/>
      <c r="CN69" s="209"/>
      <c r="CO69" s="209"/>
      <c r="CP69" s="209"/>
      <c r="CQ69" s="209"/>
      <c r="CR69" s="209"/>
      <c r="CS69" s="209"/>
      <c r="CT69" s="209"/>
      <c r="CU69" s="209"/>
    </row>
    <row r="70" spans="1:99" ht="35.25" customHeight="1">
      <c r="A70" s="464"/>
      <c r="B70" s="459"/>
      <c r="C70" s="422"/>
      <c r="D70" s="385"/>
      <c r="E70" s="385"/>
      <c r="F70" s="376"/>
      <c r="G70" s="393"/>
      <c r="H70" s="376"/>
      <c r="I70" s="376"/>
      <c r="J70" s="382"/>
      <c r="K70" s="382"/>
      <c r="L70" s="376"/>
      <c r="M70" s="379"/>
      <c r="N70" s="387"/>
      <c r="O70" s="373"/>
      <c r="P70" s="373"/>
      <c r="Q70" s="373"/>
      <c r="R70" s="373"/>
      <c r="S70" s="373"/>
      <c r="T70" s="373"/>
      <c r="U70" s="209"/>
      <c r="V70" s="374"/>
      <c r="W70" s="374"/>
      <c r="X70" s="375"/>
      <c r="Y70" s="374"/>
      <c r="Z70" s="240"/>
      <c r="AA70" s="371"/>
      <c r="AB70" s="371"/>
      <c r="AC70" s="371"/>
      <c r="AD70" s="371"/>
      <c r="AE70" s="371"/>
      <c r="AF70" s="371"/>
      <c r="AG70" s="371"/>
      <c r="AH70" s="371"/>
      <c r="AI70" s="371"/>
      <c r="AJ70" s="371"/>
      <c r="AK70" s="371"/>
      <c r="AL70" s="371"/>
      <c r="AM70" s="371"/>
      <c r="AN70" s="371"/>
      <c r="AO70" s="371"/>
      <c r="AP70" s="371"/>
      <c r="AQ70" s="371"/>
      <c r="AR70" s="371"/>
      <c r="AS70" s="371"/>
      <c r="AT70" s="209"/>
      <c r="AU70" s="209"/>
      <c r="AV70" s="209"/>
      <c r="AW70" s="209"/>
      <c r="AX70" s="209"/>
      <c r="AY70" s="209"/>
      <c r="AZ70" s="209"/>
      <c r="BA70" s="209"/>
      <c r="BB70" s="209"/>
      <c r="BC70" s="209"/>
      <c r="BD70" s="209"/>
      <c r="BE70" s="209"/>
      <c r="BF70" s="209"/>
      <c r="BG70" s="209"/>
      <c r="BH70" s="209"/>
      <c r="BI70" s="209"/>
      <c r="BJ70" s="209"/>
      <c r="BK70" s="209"/>
      <c r="BL70" s="209"/>
      <c r="BM70" s="209"/>
      <c r="BN70" s="209"/>
      <c r="BO70" s="209"/>
      <c r="BP70" s="209"/>
      <c r="BQ70" s="209"/>
      <c r="BR70" s="209"/>
      <c r="BS70" s="209"/>
      <c r="BT70" s="209"/>
      <c r="BU70" s="209"/>
      <c r="BV70" s="209"/>
      <c r="BW70" s="209"/>
      <c r="BX70" s="209"/>
      <c r="BY70" s="209"/>
      <c r="BZ70" s="209"/>
      <c r="CA70" s="209"/>
      <c r="CB70" s="209"/>
      <c r="CC70" s="209"/>
      <c r="CD70" s="209"/>
      <c r="CE70" s="209"/>
      <c r="CF70" s="209"/>
      <c r="CG70" s="209"/>
      <c r="CH70" s="209"/>
      <c r="CI70" s="209"/>
      <c r="CJ70" s="209"/>
      <c r="CK70" s="209"/>
      <c r="CL70" s="209"/>
      <c r="CM70" s="209"/>
      <c r="CN70" s="209"/>
      <c r="CO70" s="209"/>
      <c r="CP70" s="209"/>
      <c r="CQ70" s="209"/>
      <c r="CR70" s="209"/>
      <c r="CS70" s="209"/>
      <c r="CT70" s="209"/>
      <c r="CU70" s="209"/>
    </row>
    <row r="71" spans="1:99" ht="50.1" customHeight="1">
      <c r="A71" s="464"/>
      <c r="B71" s="459"/>
      <c r="C71" s="422" t="s">
        <v>217</v>
      </c>
      <c r="D71" s="385" t="s">
        <v>218</v>
      </c>
      <c r="E71" s="385" t="s">
        <v>219</v>
      </c>
      <c r="F71" s="376" t="s">
        <v>6</v>
      </c>
      <c r="G71" s="376" t="s">
        <v>87</v>
      </c>
      <c r="H71" s="376" t="s">
        <v>87</v>
      </c>
      <c r="I71" s="385" t="s">
        <v>151</v>
      </c>
      <c r="J71" s="413" t="s">
        <v>220</v>
      </c>
      <c r="K71" s="413" t="s">
        <v>221</v>
      </c>
      <c r="L71" s="376" t="s">
        <v>154</v>
      </c>
      <c r="M71" s="379" t="s">
        <v>6</v>
      </c>
      <c r="N71" s="387" t="s">
        <v>222</v>
      </c>
      <c r="O71" s="373"/>
      <c r="P71" s="373"/>
      <c r="Q71" s="373"/>
      <c r="R71" s="373"/>
      <c r="S71" s="373"/>
      <c r="T71" s="373"/>
      <c r="U71" s="209"/>
      <c r="V71" s="374"/>
      <c r="W71" s="374"/>
      <c r="X71" s="375"/>
      <c r="Y71" s="374"/>
      <c r="Z71" s="240"/>
      <c r="AA71" s="371"/>
      <c r="AB71" s="371"/>
      <c r="AC71" s="371"/>
      <c r="AD71" s="371"/>
      <c r="AE71" s="371"/>
      <c r="AF71" s="371"/>
      <c r="AG71" s="371"/>
      <c r="AH71" s="371"/>
      <c r="AI71" s="371"/>
      <c r="AJ71" s="371"/>
      <c r="AK71" s="371"/>
      <c r="AL71" s="371"/>
      <c r="AM71" s="371"/>
      <c r="AN71" s="371"/>
      <c r="AO71" s="371"/>
      <c r="AP71" s="371"/>
      <c r="AQ71" s="371"/>
      <c r="AR71" s="371"/>
      <c r="AS71" s="371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09"/>
      <c r="BJ71" s="209"/>
      <c r="BK71" s="209"/>
      <c r="BL71" s="209"/>
      <c r="BM71" s="209"/>
      <c r="BN71" s="209"/>
      <c r="BO71" s="209"/>
      <c r="BP71" s="209"/>
      <c r="BQ71" s="209"/>
      <c r="BR71" s="209"/>
      <c r="BS71" s="209"/>
      <c r="BT71" s="209"/>
      <c r="BU71" s="209"/>
      <c r="BV71" s="209"/>
      <c r="BW71" s="209"/>
      <c r="BX71" s="209"/>
      <c r="BY71" s="209"/>
      <c r="BZ71" s="209"/>
      <c r="CA71" s="209"/>
      <c r="CB71" s="209"/>
      <c r="CC71" s="209"/>
      <c r="CD71" s="209"/>
      <c r="CE71" s="209"/>
      <c r="CF71" s="209"/>
      <c r="CG71" s="209"/>
      <c r="CH71" s="209"/>
      <c r="CI71" s="209"/>
      <c r="CJ71" s="209"/>
      <c r="CK71" s="209"/>
      <c r="CL71" s="209"/>
      <c r="CM71" s="209"/>
      <c r="CN71" s="209"/>
      <c r="CO71" s="209"/>
      <c r="CP71" s="209"/>
      <c r="CQ71" s="209"/>
      <c r="CR71" s="209"/>
      <c r="CS71" s="209"/>
      <c r="CT71" s="209"/>
      <c r="CU71" s="209"/>
    </row>
    <row r="72" spans="1:99" ht="79.5" customHeight="1">
      <c r="A72" s="464"/>
      <c r="B72" s="459"/>
      <c r="C72" s="422"/>
      <c r="D72" s="385"/>
      <c r="E72" s="385"/>
      <c r="F72" s="376"/>
      <c r="G72" s="376"/>
      <c r="H72" s="376"/>
      <c r="I72" s="385"/>
      <c r="J72" s="414"/>
      <c r="K72" s="414"/>
      <c r="L72" s="376"/>
      <c r="M72" s="379"/>
      <c r="N72" s="387"/>
      <c r="O72" s="373"/>
      <c r="P72" s="373"/>
      <c r="Q72" s="373"/>
      <c r="R72" s="373"/>
      <c r="S72" s="373"/>
      <c r="T72" s="373"/>
      <c r="U72" s="209"/>
      <c r="V72" s="374"/>
      <c r="W72" s="374"/>
      <c r="X72" s="375"/>
      <c r="Y72" s="374"/>
      <c r="Z72" s="240"/>
      <c r="AA72" s="371"/>
      <c r="AB72" s="371"/>
      <c r="AC72" s="371"/>
      <c r="AD72" s="371"/>
      <c r="AE72" s="371"/>
      <c r="AF72" s="371"/>
      <c r="AG72" s="371"/>
      <c r="AH72" s="371"/>
      <c r="AI72" s="371"/>
      <c r="AJ72" s="371"/>
      <c r="AK72" s="371"/>
      <c r="AL72" s="371"/>
      <c r="AM72" s="371"/>
      <c r="AN72" s="371"/>
      <c r="AO72" s="371"/>
      <c r="AP72" s="371"/>
      <c r="AQ72" s="371"/>
      <c r="AR72" s="371"/>
      <c r="AS72" s="371"/>
      <c r="AT72" s="209"/>
      <c r="AU72" s="209"/>
      <c r="AV72" s="209"/>
      <c r="AW72" s="209"/>
      <c r="AX72" s="209"/>
      <c r="AY72" s="209"/>
      <c r="AZ72" s="209"/>
      <c r="BA72" s="209"/>
      <c r="BB72" s="209"/>
      <c r="BC72" s="209"/>
      <c r="BD72" s="209"/>
      <c r="BE72" s="209"/>
      <c r="BF72" s="209"/>
      <c r="BG72" s="209"/>
      <c r="BH72" s="209"/>
      <c r="BI72" s="209"/>
      <c r="BJ72" s="209"/>
      <c r="BK72" s="209"/>
      <c r="BL72" s="209"/>
      <c r="BM72" s="209"/>
      <c r="BN72" s="209"/>
      <c r="BO72" s="209"/>
      <c r="BP72" s="209"/>
      <c r="BQ72" s="209"/>
      <c r="BR72" s="209"/>
      <c r="BS72" s="209"/>
      <c r="BT72" s="209"/>
      <c r="BU72" s="209"/>
      <c r="BV72" s="209"/>
      <c r="BW72" s="209"/>
      <c r="BX72" s="209"/>
      <c r="BY72" s="209"/>
      <c r="BZ72" s="209"/>
      <c r="CA72" s="209"/>
      <c r="CB72" s="209"/>
      <c r="CC72" s="209"/>
      <c r="CD72" s="209"/>
      <c r="CE72" s="209"/>
      <c r="CF72" s="209"/>
      <c r="CG72" s="209"/>
      <c r="CH72" s="209"/>
      <c r="CI72" s="209"/>
      <c r="CJ72" s="209"/>
      <c r="CK72" s="209"/>
      <c r="CL72" s="209"/>
      <c r="CM72" s="209"/>
      <c r="CN72" s="209"/>
      <c r="CO72" s="209"/>
      <c r="CP72" s="209"/>
      <c r="CQ72" s="209"/>
      <c r="CR72" s="209"/>
      <c r="CS72" s="209"/>
      <c r="CT72" s="209"/>
      <c r="CU72" s="209"/>
    </row>
    <row r="73" spans="1:99" ht="117" customHeight="1">
      <c r="A73" s="464"/>
      <c r="B73" s="460"/>
      <c r="C73" s="257" t="s">
        <v>223</v>
      </c>
      <c r="D73" s="249" t="s">
        <v>224</v>
      </c>
      <c r="E73" s="249" t="s">
        <v>225</v>
      </c>
      <c r="F73" s="243" t="s">
        <v>6</v>
      </c>
      <c r="G73" s="243" t="s">
        <v>87</v>
      </c>
      <c r="H73" s="243" t="s">
        <v>87</v>
      </c>
      <c r="I73" s="249" t="s">
        <v>151</v>
      </c>
      <c r="J73" s="262" t="s">
        <v>226</v>
      </c>
      <c r="K73" s="262" t="s">
        <v>225</v>
      </c>
      <c r="L73" s="243" t="s">
        <v>154</v>
      </c>
      <c r="M73" s="254" t="s">
        <v>6</v>
      </c>
      <c r="N73" s="250" t="s">
        <v>227</v>
      </c>
      <c r="O73" s="239"/>
      <c r="P73" s="239"/>
      <c r="Q73" s="239"/>
      <c r="R73" s="239"/>
      <c r="S73" s="213"/>
      <c r="T73" s="213"/>
      <c r="U73" s="209"/>
      <c r="V73" s="240"/>
      <c r="W73" s="240"/>
      <c r="X73" s="241"/>
      <c r="Y73" s="240"/>
      <c r="Z73" s="240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  <c r="AX73" s="209"/>
      <c r="AY73" s="209"/>
      <c r="AZ73" s="209"/>
      <c r="BA73" s="209"/>
      <c r="BB73" s="209"/>
      <c r="BC73" s="209"/>
      <c r="BD73" s="209"/>
      <c r="BE73" s="209"/>
      <c r="BF73" s="209"/>
      <c r="BG73" s="209"/>
      <c r="BH73" s="209"/>
      <c r="BI73" s="209"/>
      <c r="BJ73" s="209"/>
      <c r="BK73" s="209"/>
      <c r="BL73" s="209"/>
      <c r="BM73" s="209"/>
      <c r="BN73" s="209"/>
      <c r="BO73" s="209"/>
      <c r="BP73" s="209"/>
      <c r="BQ73" s="209"/>
      <c r="BR73" s="209"/>
      <c r="BS73" s="209"/>
      <c r="BT73" s="209"/>
      <c r="BU73" s="209"/>
      <c r="BV73" s="209"/>
      <c r="BW73" s="209"/>
      <c r="BX73" s="209"/>
      <c r="BY73" s="209"/>
      <c r="BZ73" s="209"/>
      <c r="CA73" s="209"/>
      <c r="CB73" s="209"/>
      <c r="CC73" s="209"/>
      <c r="CD73" s="209"/>
      <c r="CE73" s="209"/>
      <c r="CF73" s="209"/>
      <c r="CG73" s="209"/>
      <c r="CH73" s="209"/>
      <c r="CI73" s="209"/>
      <c r="CJ73" s="209"/>
      <c r="CK73" s="209"/>
      <c r="CL73" s="209"/>
      <c r="CM73" s="209"/>
      <c r="CN73" s="209"/>
      <c r="CO73" s="209"/>
      <c r="CP73" s="209"/>
      <c r="CQ73" s="209"/>
      <c r="CR73" s="209"/>
      <c r="CS73" s="209"/>
      <c r="CT73" s="209"/>
      <c r="CU73" s="209"/>
    </row>
    <row r="74" spans="1:99" ht="50.1" customHeight="1">
      <c r="A74" s="464"/>
      <c r="B74" s="458" t="s">
        <v>228</v>
      </c>
      <c r="C74" s="421" t="s">
        <v>229</v>
      </c>
      <c r="D74" s="398" t="s">
        <v>230</v>
      </c>
      <c r="E74" s="398" t="s">
        <v>231</v>
      </c>
      <c r="F74" s="426" t="s">
        <v>232</v>
      </c>
      <c r="G74" s="403" t="s">
        <v>87</v>
      </c>
      <c r="H74" s="403" t="s">
        <v>5</v>
      </c>
      <c r="I74" s="394" t="s">
        <v>151</v>
      </c>
      <c r="J74" s="425" t="s">
        <v>233</v>
      </c>
      <c r="K74" s="425" t="s">
        <v>234</v>
      </c>
      <c r="L74" s="394" t="s">
        <v>154</v>
      </c>
      <c r="M74" s="390" t="s">
        <v>232</v>
      </c>
      <c r="N74" s="387" t="s">
        <v>235</v>
      </c>
      <c r="O74" s="372"/>
      <c r="P74" s="372"/>
      <c r="Q74" s="372"/>
      <c r="R74" s="372"/>
      <c r="S74" s="373"/>
      <c r="T74" s="373"/>
      <c r="U74" s="209"/>
      <c r="V74" s="374"/>
      <c r="W74" s="374"/>
      <c r="X74" s="375"/>
      <c r="Y74" s="374"/>
      <c r="Z74" s="240"/>
      <c r="AA74" s="371"/>
      <c r="AB74" s="371"/>
      <c r="AC74" s="371"/>
      <c r="AD74" s="371"/>
      <c r="AE74" s="371"/>
      <c r="AF74" s="371"/>
      <c r="AG74" s="371"/>
      <c r="AH74" s="371"/>
      <c r="AI74" s="371"/>
      <c r="AJ74" s="371"/>
      <c r="AK74" s="371"/>
      <c r="AL74" s="371"/>
      <c r="AM74" s="371"/>
      <c r="AN74" s="371"/>
      <c r="AO74" s="371"/>
      <c r="AP74" s="371"/>
      <c r="AQ74" s="371"/>
      <c r="AR74" s="371"/>
      <c r="AS74" s="371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209"/>
      <c r="BG74" s="209"/>
      <c r="BH74" s="209"/>
      <c r="BI74" s="209"/>
      <c r="BJ74" s="209"/>
      <c r="BK74" s="209"/>
      <c r="BL74" s="209"/>
      <c r="BM74" s="209"/>
      <c r="BN74" s="209"/>
      <c r="BO74" s="209"/>
      <c r="BP74" s="209"/>
      <c r="BQ74" s="209"/>
      <c r="BR74" s="209"/>
      <c r="BS74" s="209"/>
      <c r="BT74" s="209"/>
      <c r="BU74" s="209"/>
      <c r="BV74" s="209"/>
      <c r="BW74" s="209"/>
      <c r="BX74" s="209"/>
      <c r="BY74" s="209"/>
      <c r="BZ74" s="209"/>
      <c r="CA74" s="209"/>
      <c r="CB74" s="209"/>
      <c r="CC74" s="209"/>
      <c r="CD74" s="209"/>
      <c r="CE74" s="209"/>
      <c r="CF74" s="209"/>
      <c r="CG74" s="209"/>
      <c r="CH74" s="209"/>
      <c r="CI74" s="209"/>
      <c r="CJ74" s="209"/>
      <c r="CK74" s="209"/>
      <c r="CL74" s="209"/>
      <c r="CM74" s="209"/>
      <c r="CN74" s="209"/>
      <c r="CO74" s="209"/>
      <c r="CP74" s="209"/>
      <c r="CQ74" s="209"/>
      <c r="CR74" s="209"/>
      <c r="CS74" s="209"/>
      <c r="CT74" s="209"/>
      <c r="CU74" s="209"/>
    </row>
    <row r="75" spans="1:99" ht="27.75" customHeight="1">
      <c r="A75" s="464"/>
      <c r="B75" s="459"/>
      <c r="C75" s="422"/>
      <c r="D75" s="385"/>
      <c r="E75" s="385"/>
      <c r="F75" s="397"/>
      <c r="G75" s="393"/>
      <c r="H75" s="394"/>
      <c r="I75" s="376"/>
      <c r="J75" s="382"/>
      <c r="K75" s="382"/>
      <c r="L75" s="376"/>
      <c r="M75" s="389"/>
      <c r="N75" s="387"/>
      <c r="O75" s="372"/>
      <c r="P75" s="372"/>
      <c r="Q75" s="372"/>
      <c r="R75" s="372"/>
      <c r="S75" s="373"/>
      <c r="T75" s="373"/>
      <c r="U75" s="209"/>
      <c r="V75" s="374"/>
      <c r="W75" s="374"/>
      <c r="X75" s="375"/>
      <c r="Y75" s="374"/>
      <c r="Z75" s="240"/>
      <c r="AA75" s="371"/>
      <c r="AB75" s="371"/>
      <c r="AC75" s="371"/>
      <c r="AD75" s="371"/>
      <c r="AE75" s="371"/>
      <c r="AF75" s="371"/>
      <c r="AG75" s="371"/>
      <c r="AH75" s="371"/>
      <c r="AI75" s="371"/>
      <c r="AJ75" s="371"/>
      <c r="AK75" s="371"/>
      <c r="AL75" s="371"/>
      <c r="AM75" s="371"/>
      <c r="AN75" s="371"/>
      <c r="AO75" s="371"/>
      <c r="AP75" s="371"/>
      <c r="AQ75" s="371"/>
      <c r="AR75" s="371"/>
      <c r="AS75" s="371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  <c r="BE75" s="209"/>
      <c r="BF75" s="209"/>
      <c r="BG75" s="209"/>
      <c r="BH75" s="209"/>
      <c r="BI75" s="209"/>
      <c r="BJ75" s="209"/>
      <c r="BK75" s="209"/>
      <c r="BL75" s="209"/>
      <c r="BM75" s="209"/>
      <c r="BN75" s="209"/>
      <c r="BO75" s="209"/>
      <c r="BP75" s="209"/>
      <c r="BQ75" s="209"/>
      <c r="BR75" s="209"/>
      <c r="BS75" s="209"/>
      <c r="BT75" s="209"/>
      <c r="BU75" s="209"/>
      <c r="BV75" s="209"/>
      <c r="BW75" s="209"/>
      <c r="BX75" s="209"/>
      <c r="BY75" s="209"/>
      <c r="BZ75" s="209"/>
      <c r="CA75" s="209"/>
      <c r="CB75" s="209"/>
      <c r="CC75" s="209"/>
      <c r="CD75" s="209"/>
      <c r="CE75" s="209"/>
      <c r="CF75" s="209"/>
      <c r="CG75" s="209"/>
      <c r="CH75" s="209"/>
      <c r="CI75" s="209"/>
      <c r="CJ75" s="209"/>
      <c r="CK75" s="209"/>
      <c r="CL75" s="209"/>
      <c r="CM75" s="209"/>
      <c r="CN75" s="209"/>
      <c r="CO75" s="209"/>
      <c r="CP75" s="209"/>
      <c r="CQ75" s="209"/>
      <c r="CR75" s="209"/>
      <c r="CS75" s="209"/>
      <c r="CT75" s="209"/>
      <c r="CU75" s="209"/>
    </row>
    <row r="76" spans="1:99" ht="50.1" customHeight="1">
      <c r="A76" s="464"/>
      <c r="B76" s="459"/>
      <c r="C76" s="422" t="s">
        <v>236</v>
      </c>
      <c r="D76" s="385" t="s">
        <v>237</v>
      </c>
      <c r="E76" s="385" t="s">
        <v>238</v>
      </c>
      <c r="F76" s="385" t="s">
        <v>232</v>
      </c>
      <c r="G76" s="376" t="s">
        <v>87</v>
      </c>
      <c r="H76" s="402" t="s">
        <v>1</v>
      </c>
      <c r="I76" s="376" t="s">
        <v>151</v>
      </c>
      <c r="J76" s="382" t="s">
        <v>239</v>
      </c>
      <c r="K76" s="382" t="s">
        <v>240</v>
      </c>
      <c r="L76" s="376" t="s">
        <v>154</v>
      </c>
      <c r="M76" s="389" t="s">
        <v>232</v>
      </c>
      <c r="N76" s="387" t="s">
        <v>241</v>
      </c>
      <c r="O76" s="372"/>
      <c r="P76" s="372"/>
      <c r="Q76" s="372"/>
      <c r="R76" s="372"/>
      <c r="S76" s="373"/>
      <c r="T76" s="373"/>
      <c r="U76" s="209"/>
      <c r="V76" s="374"/>
      <c r="W76" s="374"/>
      <c r="X76" s="375"/>
      <c r="Y76" s="374"/>
      <c r="Z76" s="240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71"/>
      <c r="AT76" s="209"/>
      <c r="AU76" s="209"/>
      <c r="AV76" s="209"/>
      <c r="AW76" s="209"/>
      <c r="AX76" s="209"/>
      <c r="AY76" s="209"/>
      <c r="AZ76" s="209"/>
      <c r="BA76" s="209"/>
      <c r="BB76" s="209"/>
      <c r="BC76" s="209"/>
      <c r="BD76" s="209"/>
      <c r="BE76" s="209"/>
      <c r="BF76" s="209"/>
      <c r="BG76" s="209"/>
      <c r="BH76" s="209"/>
      <c r="BI76" s="209"/>
      <c r="BJ76" s="209"/>
      <c r="BK76" s="209"/>
      <c r="BL76" s="209"/>
      <c r="BM76" s="209"/>
      <c r="BN76" s="209"/>
      <c r="BO76" s="209"/>
      <c r="BP76" s="209"/>
      <c r="BQ76" s="209"/>
      <c r="BR76" s="209"/>
      <c r="BS76" s="209"/>
      <c r="BT76" s="209"/>
      <c r="BU76" s="209"/>
      <c r="BV76" s="209"/>
      <c r="BW76" s="209"/>
      <c r="BX76" s="209"/>
      <c r="BY76" s="209"/>
      <c r="BZ76" s="209"/>
      <c r="CA76" s="209"/>
      <c r="CB76" s="209"/>
      <c r="CC76" s="209"/>
      <c r="CD76" s="209"/>
      <c r="CE76" s="209"/>
      <c r="CF76" s="209"/>
      <c r="CG76" s="209"/>
      <c r="CH76" s="209"/>
      <c r="CI76" s="209"/>
      <c r="CJ76" s="209"/>
      <c r="CK76" s="209"/>
      <c r="CL76" s="209"/>
      <c r="CM76" s="209"/>
      <c r="CN76" s="209"/>
      <c r="CO76" s="209"/>
      <c r="CP76" s="209"/>
      <c r="CQ76" s="209"/>
      <c r="CR76" s="209"/>
      <c r="CS76" s="209"/>
      <c r="CT76" s="209"/>
      <c r="CU76" s="209"/>
    </row>
    <row r="77" spans="1:99" ht="60" customHeight="1">
      <c r="A77" s="464"/>
      <c r="B77" s="459"/>
      <c r="C77" s="422"/>
      <c r="D77" s="385"/>
      <c r="E77" s="385"/>
      <c r="F77" s="385"/>
      <c r="G77" s="376"/>
      <c r="H77" s="394"/>
      <c r="I77" s="376"/>
      <c r="J77" s="382"/>
      <c r="K77" s="382"/>
      <c r="L77" s="376"/>
      <c r="M77" s="389"/>
      <c r="N77" s="387"/>
      <c r="O77" s="372"/>
      <c r="P77" s="372"/>
      <c r="Q77" s="372"/>
      <c r="R77" s="372"/>
      <c r="S77" s="373"/>
      <c r="T77" s="373"/>
      <c r="U77" s="209"/>
      <c r="V77" s="374"/>
      <c r="W77" s="374"/>
      <c r="X77" s="375"/>
      <c r="Y77" s="374"/>
      <c r="Z77" s="240"/>
      <c r="AA77" s="371"/>
      <c r="AB77" s="371"/>
      <c r="AC77" s="371"/>
      <c r="AD77" s="371"/>
      <c r="AE77" s="371"/>
      <c r="AF77" s="371"/>
      <c r="AG77" s="371"/>
      <c r="AH77" s="371"/>
      <c r="AI77" s="371"/>
      <c r="AJ77" s="371"/>
      <c r="AK77" s="371"/>
      <c r="AL77" s="371"/>
      <c r="AM77" s="371"/>
      <c r="AN77" s="371"/>
      <c r="AO77" s="371"/>
      <c r="AP77" s="371"/>
      <c r="AQ77" s="371"/>
      <c r="AR77" s="371"/>
      <c r="AS77" s="371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209"/>
      <c r="BG77" s="209"/>
      <c r="BH77" s="209"/>
      <c r="BI77" s="209"/>
      <c r="BJ77" s="209"/>
      <c r="BK77" s="209"/>
      <c r="BL77" s="209"/>
      <c r="BM77" s="209"/>
      <c r="BN77" s="209"/>
      <c r="BO77" s="209"/>
      <c r="BP77" s="209"/>
      <c r="BQ77" s="209"/>
      <c r="BR77" s="209"/>
      <c r="BS77" s="209"/>
      <c r="BT77" s="209"/>
      <c r="BU77" s="209"/>
      <c r="BV77" s="209"/>
      <c r="BW77" s="209"/>
      <c r="BX77" s="209"/>
      <c r="BY77" s="209"/>
      <c r="BZ77" s="209"/>
      <c r="CA77" s="209"/>
      <c r="CB77" s="209"/>
      <c r="CC77" s="209"/>
      <c r="CD77" s="209"/>
      <c r="CE77" s="209"/>
      <c r="CF77" s="209"/>
      <c r="CG77" s="209"/>
      <c r="CH77" s="209"/>
      <c r="CI77" s="209"/>
      <c r="CJ77" s="209"/>
      <c r="CK77" s="209"/>
      <c r="CL77" s="209"/>
      <c r="CM77" s="209"/>
      <c r="CN77" s="209"/>
      <c r="CO77" s="209"/>
      <c r="CP77" s="209"/>
      <c r="CQ77" s="209"/>
      <c r="CR77" s="209"/>
      <c r="CS77" s="209"/>
      <c r="CT77" s="209"/>
      <c r="CU77" s="209"/>
    </row>
    <row r="78" spans="1:99" ht="50.1" customHeight="1">
      <c r="A78" s="464"/>
      <c r="B78" s="459"/>
      <c r="C78" s="419" t="s">
        <v>242</v>
      </c>
      <c r="D78" s="385" t="s">
        <v>243</v>
      </c>
      <c r="E78" s="385" t="s">
        <v>244</v>
      </c>
      <c r="F78" s="397" t="s">
        <v>232</v>
      </c>
      <c r="G78" s="402" t="s">
        <v>87</v>
      </c>
      <c r="H78" s="393" t="s">
        <v>87</v>
      </c>
      <c r="I78" s="376" t="s">
        <v>151</v>
      </c>
      <c r="J78" s="382" t="s">
        <v>245</v>
      </c>
      <c r="K78" s="382" t="s">
        <v>246</v>
      </c>
      <c r="L78" s="376" t="s">
        <v>154</v>
      </c>
      <c r="M78" s="430" t="s">
        <v>232</v>
      </c>
      <c r="N78" s="387" t="s">
        <v>247</v>
      </c>
      <c r="O78" s="372"/>
      <c r="P78" s="372"/>
      <c r="Q78" s="372"/>
      <c r="R78" s="372"/>
      <c r="S78" s="373"/>
      <c r="T78" s="373"/>
      <c r="U78" s="209"/>
      <c r="V78" s="374"/>
      <c r="W78" s="374"/>
      <c r="X78" s="375"/>
      <c r="Y78" s="374"/>
      <c r="Z78" s="240"/>
      <c r="AA78" s="371"/>
      <c r="AB78" s="371"/>
      <c r="AC78" s="371"/>
      <c r="AD78" s="371"/>
      <c r="AE78" s="371"/>
      <c r="AF78" s="371"/>
      <c r="AG78" s="371"/>
      <c r="AH78" s="371"/>
      <c r="AI78" s="371"/>
      <c r="AJ78" s="371"/>
      <c r="AK78" s="371"/>
      <c r="AL78" s="371"/>
      <c r="AM78" s="371"/>
      <c r="AN78" s="371"/>
      <c r="AO78" s="371"/>
      <c r="AP78" s="371"/>
      <c r="AQ78" s="371"/>
      <c r="AR78" s="371"/>
      <c r="AS78" s="371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/>
      <c r="BF78" s="209"/>
      <c r="BG78" s="209"/>
      <c r="BH78" s="209"/>
      <c r="BI78" s="209"/>
      <c r="BJ78" s="209"/>
      <c r="BK78" s="209"/>
      <c r="BL78" s="209"/>
      <c r="BM78" s="209"/>
      <c r="BN78" s="209"/>
      <c r="BO78" s="209"/>
      <c r="BP78" s="209"/>
      <c r="BQ78" s="209"/>
      <c r="BR78" s="209"/>
      <c r="BS78" s="209"/>
      <c r="BT78" s="209"/>
      <c r="BU78" s="209"/>
      <c r="BV78" s="209"/>
      <c r="BW78" s="209"/>
      <c r="BX78" s="209"/>
      <c r="BY78" s="209"/>
      <c r="BZ78" s="209"/>
      <c r="CA78" s="209"/>
      <c r="CB78" s="209"/>
      <c r="CC78" s="209"/>
      <c r="CD78" s="209"/>
      <c r="CE78" s="209"/>
      <c r="CF78" s="209"/>
      <c r="CG78" s="209"/>
      <c r="CH78" s="209"/>
      <c r="CI78" s="209"/>
      <c r="CJ78" s="209"/>
      <c r="CK78" s="209"/>
      <c r="CL78" s="209"/>
      <c r="CM78" s="209"/>
      <c r="CN78" s="209"/>
      <c r="CO78" s="209"/>
      <c r="CP78" s="209"/>
      <c r="CQ78" s="209"/>
      <c r="CR78" s="209"/>
      <c r="CS78" s="209"/>
      <c r="CT78" s="209"/>
      <c r="CU78" s="209"/>
    </row>
    <row r="79" spans="1:99" ht="63.75" customHeight="1">
      <c r="A79" s="464"/>
      <c r="B79" s="460"/>
      <c r="C79" s="420"/>
      <c r="D79" s="386"/>
      <c r="E79" s="386"/>
      <c r="F79" s="418"/>
      <c r="G79" s="423"/>
      <c r="H79" s="423"/>
      <c r="I79" s="377"/>
      <c r="J79" s="383"/>
      <c r="K79" s="383"/>
      <c r="L79" s="377"/>
      <c r="M79" s="431"/>
      <c r="N79" s="387"/>
      <c r="O79" s="372"/>
      <c r="P79" s="372"/>
      <c r="Q79" s="372"/>
      <c r="R79" s="372"/>
      <c r="S79" s="373"/>
      <c r="T79" s="373"/>
      <c r="U79" s="209"/>
      <c r="V79" s="374"/>
      <c r="W79" s="374"/>
      <c r="X79" s="375"/>
      <c r="Y79" s="374"/>
      <c r="Z79" s="240"/>
      <c r="AA79" s="371"/>
      <c r="AB79" s="371"/>
      <c r="AC79" s="371"/>
      <c r="AD79" s="371"/>
      <c r="AE79" s="371"/>
      <c r="AF79" s="371"/>
      <c r="AG79" s="371"/>
      <c r="AH79" s="371"/>
      <c r="AI79" s="371"/>
      <c r="AJ79" s="371"/>
      <c r="AK79" s="371"/>
      <c r="AL79" s="371"/>
      <c r="AM79" s="371"/>
      <c r="AN79" s="371"/>
      <c r="AO79" s="371"/>
      <c r="AP79" s="371"/>
      <c r="AQ79" s="371"/>
      <c r="AR79" s="371"/>
      <c r="AS79" s="371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209"/>
      <c r="BG79" s="209"/>
      <c r="BH79" s="209"/>
      <c r="BI79" s="209"/>
      <c r="BJ79" s="209"/>
      <c r="BK79" s="209"/>
      <c r="BL79" s="209"/>
      <c r="BM79" s="209"/>
      <c r="BN79" s="209"/>
      <c r="BO79" s="209"/>
      <c r="BP79" s="209"/>
      <c r="BQ79" s="209"/>
      <c r="BR79" s="209"/>
      <c r="BS79" s="209"/>
      <c r="BT79" s="209"/>
      <c r="BU79" s="209"/>
      <c r="BV79" s="209"/>
      <c r="BW79" s="209"/>
      <c r="BX79" s="209"/>
      <c r="BY79" s="209"/>
      <c r="BZ79" s="209"/>
      <c r="CA79" s="209"/>
      <c r="CB79" s="209"/>
      <c r="CC79" s="209"/>
      <c r="CD79" s="209"/>
      <c r="CE79" s="209"/>
      <c r="CF79" s="209"/>
      <c r="CG79" s="209"/>
      <c r="CH79" s="209"/>
      <c r="CI79" s="209"/>
      <c r="CJ79" s="209"/>
      <c r="CK79" s="209"/>
      <c r="CL79" s="209"/>
      <c r="CM79" s="209"/>
      <c r="CN79" s="209"/>
      <c r="CO79" s="209"/>
      <c r="CP79" s="209"/>
      <c r="CQ79" s="209"/>
      <c r="CR79" s="209"/>
      <c r="CS79" s="209"/>
      <c r="CT79" s="209"/>
      <c r="CU79" s="209"/>
    </row>
    <row r="80" spans="1:99" ht="50.1" customHeight="1">
      <c r="A80" s="464"/>
      <c r="B80" s="458" t="s">
        <v>248</v>
      </c>
      <c r="C80" s="427" t="s">
        <v>249</v>
      </c>
      <c r="D80" s="414" t="s">
        <v>250</v>
      </c>
      <c r="E80" s="414" t="s">
        <v>251</v>
      </c>
      <c r="F80" s="403" t="s">
        <v>252</v>
      </c>
      <c r="G80" s="394" t="s">
        <v>87</v>
      </c>
      <c r="H80" s="394" t="s">
        <v>253</v>
      </c>
      <c r="I80" s="403" t="s">
        <v>253</v>
      </c>
      <c r="J80" s="414" t="s">
        <v>254</v>
      </c>
      <c r="K80" s="425" t="s">
        <v>255</v>
      </c>
      <c r="L80" s="394" t="s">
        <v>154</v>
      </c>
      <c r="M80" s="390" t="s">
        <v>232</v>
      </c>
      <c r="N80" s="387" t="s">
        <v>256</v>
      </c>
      <c r="O80" s="373"/>
      <c r="P80" s="373"/>
      <c r="Q80" s="373"/>
      <c r="R80" s="373"/>
      <c r="S80" s="373"/>
      <c r="T80" s="373"/>
      <c r="U80" s="209"/>
      <c r="V80" s="374"/>
      <c r="W80" s="374"/>
      <c r="X80" s="375"/>
      <c r="Y80" s="374"/>
      <c r="Z80" s="240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1"/>
      <c r="AS80" s="371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09"/>
      <c r="BJ80" s="209"/>
      <c r="BK80" s="209"/>
      <c r="BL80" s="209"/>
      <c r="BM80" s="209"/>
      <c r="BN80" s="209"/>
      <c r="BO80" s="209"/>
      <c r="BP80" s="209"/>
      <c r="BQ80" s="209"/>
      <c r="BR80" s="209"/>
      <c r="BS80" s="209"/>
      <c r="BT80" s="209"/>
      <c r="BU80" s="209"/>
      <c r="BV80" s="209"/>
      <c r="BW80" s="209"/>
      <c r="BX80" s="209"/>
      <c r="BY80" s="209"/>
      <c r="BZ80" s="209"/>
      <c r="CA80" s="209"/>
      <c r="CB80" s="209"/>
      <c r="CC80" s="209"/>
      <c r="CD80" s="209"/>
      <c r="CE80" s="209"/>
      <c r="CF80" s="209"/>
      <c r="CG80" s="209"/>
      <c r="CH80" s="209"/>
      <c r="CI80" s="209"/>
      <c r="CJ80" s="209"/>
      <c r="CK80" s="209"/>
      <c r="CL80" s="209"/>
      <c r="CM80" s="209"/>
      <c r="CN80" s="209"/>
      <c r="CO80" s="209"/>
      <c r="CP80" s="209"/>
      <c r="CQ80" s="209"/>
      <c r="CR80" s="209"/>
      <c r="CS80" s="209"/>
      <c r="CT80" s="209"/>
      <c r="CU80" s="209"/>
    </row>
    <row r="81" spans="1:99" ht="35.25" customHeight="1">
      <c r="A81" s="464"/>
      <c r="B81" s="459"/>
      <c r="C81" s="428"/>
      <c r="D81" s="429"/>
      <c r="E81" s="429"/>
      <c r="F81" s="394"/>
      <c r="G81" s="376"/>
      <c r="H81" s="376"/>
      <c r="I81" s="394"/>
      <c r="J81" s="429"/>
      <c r="K81" s="382"/>
      <c r="L81" s="376"/>
      <c r="M81" s="389"/>
      <c r="N81" s="387"/>
      <c r="O81" s="373"/>
      <c r="P81" s="373"/>
      <c r="Q81" s="373"/>
      <c r="R81" s="373"/>
      <c r="S81" s="373"/>
      <c r="T81" s="373"/>
      <c r="U81" s="209"/>
      <c r="V81" s="374"/>
      <c r="W81" s="374"/>
      <c r="X81" s="375"/>
      <c r="Y81" s="374"/>
      <c r="Z81" s="240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1"/>
      <c r="AP81" s="371"/>
      <c r="AQ81" s="371"/>
      <c r="AR81" s="371"/>
      <c r="AS81" s="371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  <c r="BI81" s="209"/>
      <c r="BJ81" s="209"/>
      <c r="BK81" s="209"/>
      <c r="BL81" s="209"/>
      <c r="BM81" s="209"/>
      <c r="BN81" s="209"/>
      <c r="BO81" s="209"/>
      <c r="BP81" s="209"/>
      <c r="BQ81" s="209"/>
      <c r="BR81" s="209"/>
      <c r="BS81" s="209"/>
      <c r="BT81" s="209"/>
      <c r="BU81" s="209"/>
      <c r="BV81" s="209"/>
      <c r="BW81" s="209"/>
      <c r="BX81" s="209"/>
      <c r="BY81" s="209"/>
      <c r="BZ81" s="209"/>
      <c r="CA81" s="209"/>
      <c r="CB81" s="209"/>
      <c r="CC81" s="209"/>
      <c r="CD81" s="209"/>
      <c r="CE81" s="209"/>
      <c r="CF81" s="209"/>
      <c r="CG81" s="209"/>
      <c r="CH81" s="209"/>
      <c r="CI81" s="209"/>
      <c r="CJ81" s="209"/>
      <c r="CK81" s="209"/>
      <c r="CL81" s="209"/>
      <c r="CM81" s="209"/>
      <c r="CN81" s="209"/>
      <c r="CO81" s="209"/>
      <c r="CP81" s="209"/>
      <c r="CQ81" s="209"/>
      <c r="CR81" s="209"/>
      <c r="CS81" s="209"/>
      <c r="CT81" s="209"/>
      <c r="CU81" s="209"/>
    </row>
    <row r="82" spans="1:99" ht="49.5" hidden="1" customHeight="1" thickTop="1" thickBot="1">
      <c r="A82" s="464"/>
      <c r="B82" s="459"/>
      <c r="C82" s="428"/>
      <c r="D82" s="429"/>
      <c r="E82" s="429"/>
      <c r="F82" s="253"/>
      <c r="G82" s="402" t="s">
        <v>87</v>
      </c>
      <c r="H82" s="376"/>
      <c r="I82" s="242" t="s">
        <v>5</v>
      </c>
      <c r="J82" s="429"/>
      <c r="K82" s="382"/>
      <c r="L82" s="376"/>
      <c r="M82" s="251"/>
      <c r="N82" s="387"/>
      <c r="O82" s="239"/>
      <c r="P82" s="239"/>
      <c r="Q82" s="239"/>
      <c r="R82" s="239"/>
      <c r="S82" s="373"/>
      <c r="T82" s="373"/>
      <c r="U82" s="209"/>
      <c r="V82" s="240"/>
      <c r="W82" s="240"/>
      <c r="X82" s="241"/>
      <c r="Y82" s="240"/>
      <c r="Z82" s="240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209"/>
      <c r="AU82" s="209"/>
      <c r="AV82" s="209"/>
      <c r="AW82" s="209"/>
      <c r="AX82" s="209"/>
      <c r="AY82" s="209"/>
      <c r="AZ82" s="209"/>
      <c r="BA82" s="209"/>
      <c r="BB82" s="209"/>
      <c r="BC82" s="209"/>
      <c r="BD82" s="209"/>
      <c r="BE82" s="209"/>
      <c r="BF82" s="209"/>
      <c r="BG82" s="209"/>
      <c r="BH82" s="209"/>
      <c r="BI82" s="209"/>
      <c r="BJ82" s="209"/>
      <c r="BK82" s="209"/>
      <c r="BL82" s="209"/>
      <c r="BM82" s="209"/>
      <c r="BN82" s="209"/>
      <c r="BO82" s="209"/>
      <c r="BP82" s="209"/>
      <c r="BQ82" s="209"/>
      <c r="BR82" s="209"/>
      <c r="BS82" s="209"/>
      <c r="BT82" s="209"/>
      <c r="BU82" s="209"/>
      <c r="BV82" s="209"/>
      <c r="BW82" s="209"/>
      <c r="BX82" s="209"/>
      <c r="BY82" s="209"/>
      <c r="BZ82" s="209"/>
      <c r="CA82" s="209"/>
      <c r="CB82" s="209"/>
      <c r="CC82" s="209"/>
      <c r="CD82" s="209"/>
      <c r="CE82" s="209"/>
      <c r="CF82" s="209"/>
      <c r="CG82" s="209"/>
      <c r="CH82" s="209"/>
      <c r="CI82" s="209"/>
      <c r="CJ82" s="209"/>
      <c r="CK82" s="209"/>
      <c r="CL82" s="209"/>
      <c r="CM82" s="209"/>
      <c r="CN82" s="209"/>
      <c r="CO82" s="209"/>
      <c r="CP82" s="209"/>
      <c r="CQ82" s="209"/>
      <c r="CR82" s="209"/>
      <c r="CS82" s="209"/>
      <c r="CT82" s="209"/>
      <c r="CU82" s="209"/>
    </row>
    <row r="83" spans="1:99" ht="50.1" customHeight="1">
      <c r="A83" s="464"/>
      <c r="B83" s="459"/>
      <c r="C83" s="428" t="s">
        <v>257</v>
      </c>
      <c r="D83" s="429" t="s">
        <v>258</v>
      </c>
      <c r="E83" s="429" t="s">
        <v>259</v>
      </c>
      <c r="F83" s="376" t="s">
        <v>252</v>
      </c>
      <c r="G83" s="393"/>
      <c r="H83" s="376" t="s">
        <v>253</v>
      </c>
      <c r="I83" s="376" t="s">
        <v>253</v>
      </c>
      <c r="J83" s="429" t="s">
        <v>258</v>
      </c>
      <c r="K83" s="382" t="s">
        <v>260</v>
      </c>
      <c r="L83" s="376" t="s">
        <v>154</v>
      </c>
      <c r="M83" s="379" t="s">
        <v>252</v>
      </c>
      <c r="N83" s="387" t="s">
        <v>261</v>
      </c>
      <c r="O83" s="373"/>
      <c r="P83" s="373"/>
      <c r="Q83" s="373"/>
      <c r="R83" s="373"/>
      <c r="S83" s="373"/>
      <c r="T83" s="373"/>
      <c r="U83" s="209"/>
      <c r="V83" s="374"/>
      <c r="W83" s="374"/>
      <c r="X83" s="375"/>
      <c r="Y83" s="374"/>
      <c r="Z83" s="240"/>
      <c r="AA83" s="371"/>
      <c r="AB83" s="371"/>
      <c r="AC83" s="371"/>
      <c r="AD83" s="371"/>
      <c r="AE83" s="371"/>
      <c r="AF83" s="371"/>
      <c r="AG83" s="371"/>
      <c r="AH83" s="371"/>
      <c r="AI83" s="371"/>
      <c r="AJ83" s="371"/>
      <c r="AK83" s="371"/>
      <c r="AL83" s="371"/>
      <c r="AM83" s="371"/>
      <c r="AN83" s="371"/>
      <c r="AO83" s="371"/>
      <c r="AP83" s="371"/>
      <c r="AQ83" s="371"/>
      <c r="AR83" s="371"/>
      <c r="AS83" s="371"/>
      <c r="AT83" s="209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209"/>
      <c r="BG83" s="209"/>
      <c r="BH83" s="209"/>
      <c r="BI83" s="209"/>
      <c r="BJ83" s="209"/>
      <c r="BK83" s="209"/>
      <c r="BL83" s="209"/>
      <c r="BM83" s="209"/>
      <c r="BN83" s="209"/>
      <c r="BO83" s="209"/>
      <c r="BP83" s="209"/>
      <c r="BQ83" s="209"/>
      <c r="BR83" s="209"/>
      <c r="BS83" s="209"/>
      <c r="BT83" s="209"/>
      <c r="BU83" s="209"/>
      <c r="BV83" s="209"/>
      <c r="BW83" s="209"/>
      <c r="BX83" s="209"/>
      <c r="BY83" s="209"/>
      <c r="BZ83" s="209"/>
      <c r="CA83" s="209"/>
      <c r="CB83" s="209"/>
      <c r="CC83" s="209"/>
      <c r="CD83" s="209"/>
      <c r="CE83" s="209"/>
      <c r="CF83" s="209"/>
      <c r="CG83" s="209"/>
      <c r="CH83" s="209"/>
      <c r="CI83" s="209"/>
      <c r="CJ83" s="209"/>
      <c r="CK83" s="209"/>
      <c r="CL83" s="209"/>
      <c r="CM83" s="209"/>
      <c r="CN83" s="209"/>
      <c r="CO83" s="209"/>
      <c r="CP83" s="209"/>
      <c r="CQ83" s="209"/>
      <c r="CR83" s="209"/>
      <c r="CS83" s="209"/>
      <c r="CT83" s="209"/>
      <c r="CU83" s="209"/>
    </row>
    <row r="84" spans="1:99" ht="50.1" customHeight="1">
      <c r="A84" s="464"/>
      <c r="B84" s="459"/>
      <c r="C84" s="428"/>
      <c r="D84" s="429"/>
      <c r="E84" s="429"/>
      <c r="F84" s="376"/>
      <c r="G84" s="394"/>
      <c r="H84" s="376"/>
      <c r="I84" s="376"/>
      <c r="J84" s="429"/>
      <c r="K84" s="382"/>
      <c r="L84" s="376"/>
      <c r="M84" s="379"/>
      <c r="N84" s="387"/>
      <c r="O84" s="373"/>
      <c r="P84" s="373"/>
      <c r="Q84" s="373"/>
      <c r="R84" s="373"/>
      <c r="S84" s="373"/>
      <c r="T84" s="373"/>
      <c r="U84" s="209"/>
      <c r="V84" s="374"/>
      <c r="W84" s="374"/>
      <c r="X84" s="375"/>
      <c r="Y84" s="374"/>
      <c r="Z84" s="240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371"/>
      <c r="AO84" s="371"/>
      <c r="AP84" s="371"/>
      <c r="AQ84" s="371"/>
      <c r="AR84" s="371"/>
      <c r="AS84" s="371"/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209"/>
      <c r="BG84" s="209"/>
      <c r="BH84" s="209"/>
      <c r="BI84" s="209"/>
      <c r="BJ84" s="209"/>
      <c r="BK84" s="209"/>
      <c r="BL84" s="209"/>
      <c r="BM84" s="209"/>
      <c r="BN84" s="209"/>
      <c r="BO84" s="209"/>
      <c r="BP84" s="209"/>
      <c r="BQ84" s="209"/>
      <c r="BR84" s="209"/>
      <c r="BS84" s="209"/>
      <c r="BT84" s="209"/>
      <c r="BU84" s="209"/>
      <c r="BV84" s="209"/>
      <c r="BW84" s="209"/>
      <c r="BX84" s="209"/>
      <c r="BY84" s="209"/>
      <c r="BZ84" s="209"/>
      <c r="CA84" s="209"/>
      <c r="CB84" s="209"/>
      <c r="CC84" s="209"/>
      <c r="CD84" s="209"/>
      <c r="CE84" s="209"/>
      <c r="CF84" s="209"/>
      <c r="CG84" s="209"/>
      <c r="CH84" s="209"/>
      <c r="CI84" s="209"/>
      <c r="CJ84" s="209"/>
      <c r="CK84" s="209"/>
      <c r="CL84" s="209"/>
      <c r="CM84" s="209"/>
      <c r="CN84" s="209"/>
      <c r="CO84" s="209"/>
      <c r="CP84" s="209"/>
      <c r="CQ84" s="209"/>
      <c r="CR84" s="209"/>
      <c r="CS84" s="209"/>
      <c r="CT84" s="209"/>
      <c r="CU84" s="209"/>
    </row>
    <row r="85" spans="1:99" ht="50.1" customHeight="1">
      <c r="A85" s="464"/>
      <c r="B85" s="459"/>
      <c r="C85" s="432" t="s">
        <v>262</v>
      </c>
      <c r="D85" s="429" t="s">
        <v>263</v>
      </c>
      <c r="E85" s="429" t="s">
        <v>264</v>
      </c>
      <c r="F85" s="402" t="s">
        <v>252</v>
      </c>
      <c r="G85" s="402" t="s">
        <v>87</v>
      </c>
      <c r="H85" s="402" t="s">
        <v>253</v>
      </c>
      <c r="I85" s="402" t="s">
        <v>87</v>
      </c>
      <c r="J85" s="429" t="s">
        <v>263</v>
      </c>
      <c r="K85" s="382" t="s">
        <v>265</v>
      </c>
      <c r="L85" s="376" t="s">
        <v>154</v>
      </c>
      <c r="M85" s="380" t="s">
        <v>252</v>
      </c>
      <c r="N85" s="387" t="s">
        <v>266</v>
      </c>
      <c r="O85" s="373"/>
      <c r="P85" s="373"/>
      <c r="Q85" s="373"/>
      <c r="R85" s="373"/>
      <c r="S85" s="373"/>
      <c r="T85" s="373"/>
      <c r="U85" s="209"/>
      <c r="V85" s="374"/>
      <c r="W85" s="374"/>
      <c r="X85" s="375"/>
      <c r="Y85" s="374"/>
      <c r="Z85" s="240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209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  <c r="BE85" s="209"/>
      <c r="BF85" s="209"/>
      <c r="BG85" s="209"/>
      <c r="BH85" s="209"/>
      <c r="BI85" s="209"/>
      <c r="BJ85" s="209"/>
      <c r="BK85" s="209"/>
      <c r="BL85" s="209"/>
      <c r="BM85" s="209"/>
      <c r="BN85" s="209"/>
      <c r="BO85" s="209"/>
      <c r="BP85" s="209"/>
      <c r="BQ85" s="209"/>
      <c r="BR85" s="209"/>
      <c r="BS85" s="209"/>
      <c r="BT85" s="209"/>
      <c r="BU85" s="209"/>
      <c r="BV85" s="209"/>
      <c r="BW85" s="209"/>
      <c r="BX85" s="209"/>
      <c r="BY85" s="209"/>
      <c r="BZ85" s="209"/>
      <c r="CA85" s="209"/>
      <c r="CB85" s="209"/>
      <c r="CC85" s="209"/>
      <c r="CD85" s="209"/>
      <c r="CE85" s="209"/>
      <c r="CF85" s="209"/>
      <c r="CG85" s="209"/>
      <c r="CH85" s="209"/>
      <c r="CI85" s="209"/>
      <c r="CJ85" s="209"/>
      <c r="CK85" s="209"/>
      <c r="CL85" s="209"/>
      <c r="CM85" s="209"/>
      <c r="CN85" s="209"/>
      <c r="CO85" s="209"/>
      <c r="CP85" s="209"/>
      <c r="CQ85" s="209"/>
      <c r="CR85" s="209"/>
      <c r="CS85" s="209"/>
      <c r="CT85" s="209"/>
      <c r="CU85" s="209"/>
    </row>
    <row r="86" spans="1:99" ht="58.5" customHeight="1">
      <c r="A86" s="464"/>
      <c r="B86" s="460"/>
      <c r="C86" s="433"/>
      <c r="D86" s="434"/>
      <c r="E86" s="434"/>
      <c r="F86" s="423"/>
      <c r="G86" s="423"/>
      <c r="H86" s="423"/>
      <c r="I86" s="423"/>
      <c r="J86" s="434"/>
      <c r="K86" s="383"/>
      <c r="L86" s="377"/>
      <c r="M86" s="381"/>
      <c r="N86" s="387"/>
      <c r="O86" s="373"/>
      <c r="P86" s="373"/>
      <c r="Q86" s="373"/>
      <c r="R86" s="373"/>
      <c r="S86" s="373"/>
      <c r="T86" s="373"/>
      <c r="U86" s="209"/>
      <c r="V86" s="374"/>
      <c r="W86" s="374"/>
      <c r="X86" s="375"/>
      <c r="Y86" s="374"/>
      <c r="Z86" s="240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1"/>
      <c r="AP86" s="371"/>
      <c r="AQ86" s="371"/>
      <c r="AR86" s="371"/>
      <c r="AS86" s="371"/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209"/>
      <c r="BG86" s="209"/>
      <c r="BH86" s="209"/>
      <c r="BI86" s="209"/>
      <c r="BJ86" s="209"/>
      <c r="BK86" s="209"/>
      <c r="BL86" s="209"/>
      <c r="BM86" s="209"/>
      <c r="BN86" s="209"/>
      <c r="BO86" s="209"/>
      <c r="BP86" s="209"/>
      <c r="BQ86" s="209"/>
      <c r="BR86" s="209"/>
      <c r="BS86" s="209"/>
      <c r="BT86" s="209"/>
      <c r="BU86" s="209"/>
      <c r="BV86" s="209"/>
      <c r="BW86" s="209"/>
      <c r="BX86" s="209"/>
      <c r="BY86" s="209"/>
      <c r="BZ86" s="209"/>
      <c r="CA86" s="209"/>
      <c r="CB86" s="209"/>
      <c r="CC86" s="209"/>
      <c r="CD86" s="209"/>
      <c r="CE86" s="209"/>
      <c r="CF86" s="209"/>
      <c r="CG86" s="209"/>
      <c r="CH86" s="209"/>
      <c r="CI86" s="209"/>
      <c r="CJ86" s="209"/>
      <c r="CK86" s="209"/>
      <c r="CL86" s="209"/>
      <c r="CM86" s="209"/>
      <c r="CN86" s="209"/>
      <c r="CO86" s="209"/>
      <c r="CP86" s="209"/>
      <c r="CQ86" s="209"/>
      <c r="CR86" s="209"/>
      <c r="CS86" s="209"/>
      <c r="CT86" s="209"/>
      <c r="CU86" s="209"/>
    </row>
    <row r="87" spans="1:99" ht="50.1" customHeight="1">
      <c r="A87" s="464"/>
      <c r="B87" s="458" t="s">
        <v>267</v>
      </c>
      <c r="C87" s="427" t="s">
        <v>268</v>
      </c>
      <c r="D87" s="414" t="s">
        <v>269</v>
      </c>
      <c r="E87" s="435" t="s">
        <v>270</v>
      </c>
      <c r="F87" s="394" t="s">
        <v>271</v>
      </c>
      <c r="G87" s="437" t="s">
        <v>87</v>
      </c>
      <c r="H87" s="394" t="s">
        <v>8</v>
      </c>
      <c r="I87" s="403" t="s">
        <v>272</v>
      </c>
      <c r="J87" s="414" t="s">
        <v>273</v>
      </c>
      <c r="K87" s="425" t="s">
        <v>274</v>
      </c>
      <c r="L87" s="394" t="s">
        <v>154</v>
      </c>
      <c r="M87" s="388" t="s">
        <v>275</v>
      </c>
      <c r="N87" s="387" t="s">
        <v>276</v>
      </c>
      <c r="O87" s="373"/>
      <c r="P87" s="373"/>
      <c r="Q87" s="373"/>
      <c r="R87" s="373"/>
      <c r="S87" s="373"/>
      <c r="T87" s="373"/>
      <c r="U87" s="209"/>
      <c r="V87" s="374"/>
      <c r="W87" s="374"/>
      <c r="X87" s="375"/>
      <c r="Y87" s="374"/>
      <c r="Z87" s="240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1"/>
      <c r="AP87" s="371"/>
      <c r="AQ87" s="371"/>
      <c r="AR87" s="371"/>
      <c r="AS87" s="371"/>
      <c r="AT87" s="209"/>
      <c r="AU87" s="209"/>
      <c r="AV87" s="209"/>
      <c r="AW87" s="209"/>
      <c r="AX87" s="209"/>
      <c r="AY87" s="209"/>
      <c r="AZ87" s="209"/>
      <c r="BA87" s="209"/>
      <c r="BB87" s="209"/>
      <c r="BC87" s="209"/>
      <c r="BD87" s="209"/>
      <c r="BE87" s="209"/>
      <c r="BF87" s="209"/>
      <c r="BG87" s="209"/>
      <c r="BH87" s="209"/>
      <c r="BI87" s="209"/>
      <c r="BJ87" s="209"/>
      <c r="BK87" s="209"/>
      <c r="BL87" s="209"/>
      <c r="BM87" s="209"/>
      <c r="BN87" s="209"/>
      <c r="BO87" s="209"/>
      <c r="BP87" s="209"/>
      <c r="BQ87" s="209"/>
      <c r="BR87" s="209"/>
      <c r="BS87" s="209"/>
      <c r="BT87" s="209"/>
      <c r="BU87" s="209"/>
      <c r="BV87" s="209"/>
      <c r="BW87" s="209"/>
      <c r="BX87" s="209"/>
      <c r="BY87" s="209"/>
      <c r="BZ87" s="209"/>
      <c r="CA87" s="209"/>
      <c r="CB87" s="209"/>
      <c r="CC87" s="209"/>
      <c r="CD87" s="209"/>
      <c r="CE87" s="209"/>
      <c r="CF87" s="209"/>
      <c r="CG87" s="209"/>
      <c r="CH87" s="209"/>
      <c r="CI87" s="209"/>
      <c r="CJ87" s="209"/>
      <c r="CK87" s="209"/>
      <c r="CL87" s="209"/>
      <c r="CM87" s="209"/>
      <c r="CN87" s="209"/>
      <c r="CO87" s="209"/>
      <c r="CP87" s="209"/>
      <c r="CQ87" s="209"/>
      <c r="CR87" s="209"/>
      <c r="CS87" s="209"/>
      <c r="CT87" s="209"/>
      <c r="CU87" s="209"/>
    </row>
    <row r="88" spans="1:99" ht="48" customHeight="1">
      <c r="A88" s="464"/>
      <c r="B88" s="405"/>
      <c r="C88" s="428"/>
      <c r="D88" s="429"/>
      <c r="E88" s="436"/>
      <c r="F88" s="376"/>
      <c r="G88" s="438"/>
      <c r="H88" s="376"/>
      <c r="I88" s="394"/>
      <c r="J88" s="429"/>
      <c r="K88" s="382"/>
      <c r="L88" s="376"/>
      <c r="M88" s="378"/>
      <c r="N88" s="387"/>
      <c r="O88" s="373"/>
      <c r="P88" s="373"/>
      <c r="Q88" s="373"/>
      <c r="R88" s="373"/>
      <c r="S88" s="373"/>
      <c r="T88" s="373"/>
      <c r="U88" s="209"/>
      <c r="V88" s="374"/>
      <c r="W88" s="374"/>
      <c r="X88" s="375"/>
      <c r="Y88" s="374"/>
      <c r="Z88" s="240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371"/>
      <c r="AO88" s="371"/>
      <c r="AP88" s="371"/>
      <c r="AQ88" s="371"/>
      <c r="AR88" s="371"/>
      <c r="AS88" s="371"/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209"/>
      <c r="BG88" s="209"/>
      <c r="BH88" s="209"/>
      <c r="BI88" s="209"/>
      <c r="BJ88" s="209"/>
      <c r="BK88" s="209"/>
      <c r="BL88" s="209"/>
      <c r="BM88" s="209"/>
      <c r="BN88" s="209"/>
      <c r="BO88" s="209"/>
      <c r="BP88" s="209"/>
      <c r="BQ88" s="209"/>
      <c r="BR88" s="209"/>
      <c r="BS88" s="209"/>
      <c r="BT88" s="209"/>
      <c r="BU88" s="209"/>
      <c r="BV88" s="209"/>
      <c r="BW88" s="209"/>
      <c r="BX88" s="209"/>
      <c r="BY88" s="209"/>
      <c r="BZ88" s="209"/>
      <c r="CA88" s="209"/>
      <c r="CB88" s="209"/>
      <c r="CC88" s="209"/>
      <c r="CD88" s="209"/>
      <c r="CE88" s="209"/>
      <c r="CF88" s="209"/>
      <c r="CG88" s="209"/>
      <c r="CH88" s="209"/>
      <c r="CI88" s="209"/>
      <c r="CJ88" s="209"/>
      <c r="CK88" s="209"/>
      <c r="CL88" s="209"/>
      <c r="CM88" s="209"/>
      <c r="CN88" s="209"/>
      <c r="CO88" s="209"/>
      <c r="CP88" s="209"/>
      <c r="CQ88" s="209"/>
      <c r="CR88" s="209"/>
      <c r="CS88" s="209"/>
      <c r="CT88" s="209"/>
      <c r="CU88" s="209"/>
    </row>
    <row r="89" spans="1:99" ht="49.5" customHeight="1">
      <c r="A89" s="464"/>
      <c r="B89" s="405"/>
      <c r="C89" s="428" t="s">
        <v>277</v>
      </c>
      <c r="D89" s="429" t="s">
        <v>278</v>
      </c>
      <c r="E89" s="429" t="s">
        <v>279</v>
      </c>
      <c r="F89" s="393" t="s">
        <v>271</v>
      </c>
      <c r="G89" s="394" t="s">
        <v>87</v>
      </c>
      <c r="H89" s="376" t="s">
        <v>8</v>
      </c>
      <c r="I89" s="376" t="s">
        <v>280</v>
      </c>
      <c r="J89" s="429" t="s">
        <v>278</v>
      </c>
      <c r="K89" s="382" t="s">
        <v>281</v>
      </c>
      <c r="L89" s="376" t="s">
        <v>154</v>
      </c>
      <c r="M89" s="379" t="s">
        <v>282</v>
      </c>
      <c r="N89" s="387" t="s">
        <v>283</v>
      </c>
      <c r="O89" s="373"/>
      <c r="P89" s="373"/>
      <c r="Q89" s="373"/>
      <c r="R89" s="373"/>
      <c r="S89" s="373"/>
      <c r="T89" s="373"/>
      <c r="U89" s="209"/>
      <c r="V89" s="374"/>
      <c r="W89" s="374"/>
      <c r="X89" s="375"/>
      <c r="Y89" s="374"/>
      <c r="Z89" s="240"/>
      <c r="AA89" s="371"/>
      <c r="AB89" s="371"/>
      <c r="AC89" s="371"/>
      <c r="AD89" s="371"/>
      <c r="AE89" s="371"/>
      <c r="AF89" s="371"/>
      <c r="AG89" s="371"/>
      <c r="AH89" s="371"/>
      <c r="AI89" s="371"/>
      <c r="AJ89" s="371"/>
      <c r="AK89" s="371"/>
      <c r="AL89" s="371"/>
      <c r="AM89" s="371"/>
      <c r="AN89" s="371"/>
      <c r="AO89" s="371"/>
      <c r="AP89" s="371"/>
      <c r="AQ89" s="371"/>
      <c r="AR89" s="371"/>
      <c r="AS89" s="371"/>
      <c r="AT89" s="209"/>
      <c r="AU89" s="209"/>
      <c r="AV89" s="209"/>
      <c r="AW89" s="209"/>
      <c r="AX89" s="209"/>
      <c r="AY89" s="209"/>
      <c r="AZ89" s="209"/>
      <c r="BA89" s="209"/>
      <c r="BB89" s="209"/>
      <c r="BC89" s="209"/>
      <c r="BD89" s="209"/>
      <c r="BE89" s="209"/>
      <c r="BF89" s="209"/>
      <c r="BG89" s="209"/>
      <c r="BH89" s="209"/>
      <c r="BI89" s="209"/>
      <c r="BJ89" s="209"/>
      <c r="BK89" s="209"/>
      <c r="BL89" s="209"/>
      <c r="BM89" s="209"/>
      <c r="BN89" s="209"/>
      <c r="BO89" s="209"/>
      <c r="BP89" s="209"/>
      <c r="BQ89" s="209"/>
      <c r="BR89" s="209"/>
      <c r="BS89" s="209"/>
      <c r="BT89" s="209"/>
      <c r="BU89" s="209"/>
      <c r="BV89" s="209"/>
      <c r="BW89" s="209"/>
      <c r="BX89" s="209"/>
      <c r="BY89" s="209"/>
      <c r="BZ89" s="209"/>
      <c r="CA89" s="209"/>
      <c r="CB89" s="209"/>
      <c r="CC89" s="209"/>
      <c r="CD89" s="209"/>
      <c r="CE89" s="209"/>
      <c r="CF89" s="209"/>
      <c r="CG89" s="209"/>
      <c r="CH89" s="209"/>
      <c r="CI89" s="209"/>
      <c r="CJ89" s="209"/>
      <c r="CK89" s="209"/>
      <c r="CL89" s="209"/>
      <c r="CM89" s="209"/>
      <c r="CN89" s="209"/>
      <c r="CO89" s="209"/>
      <c r="CP89" s="209"/>
      <c r="CQ89" s="209"/>
      <c r="CR89" s="209"/>
      <c r="CS89" s="209"/>
      <c r="CT89" s="209"/>
      <c r="CU89" s="209"/>
    </row>
    <row r="90" spans="1:99" ht="50.25" customHeight="1">
      <c r="A90" s="464"/>
      <c r="B90" s="405"/>
      <c r="C90" s="428"/>
      <c r="D90" s="429"/>
      <c r="E90" s="429"/>
      <c r="F90" s="394"/>
      <c r="G90" s="376"/>
      <c r="H90" s="376"/>
      <c r="I90" s="376"/>
      <c r="J90" s="429"/>
      <c r="K90" s="382"/>
      <c r="L90" s="376"/>
      <c r="M90" s="379"/>
      <c r="N90" s="387"/>
      <c r="O90" s="373"/>
      <c r="P90" s="373"/>
      <c r="Q90" s="373"/>
      <c r="R90" s="373"/>
      <c r="S90" s="373"/>
      <c r="T90" s="373"/>
      <c r="U90" s="209"/>
      <c r="V90" s="374"/>
      <c r="W90" s="374"/>
      <c r="X90" s="375"/>
      <c r="Y90" s="374"/>
      <c r="Z90" s="240"/>
      <c r="AA90" s="371"/>
      <c r="AB90" s="371"/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371"/>
      <c r="AO90" s="371"/>
      <c r="AP90" s="371"/>
      <c r="AQ90" s="371"/>
      <c r="AR90" s="371"/>
      <c r="AS90" s="371"/>
      <c r="AT90" s="209"/>
      <c r="AU90" s="209"/>
      <c r="AV90" s="209"/>
      <c r="AW90" s="209"/>
      <c r="AX90" s="209"/>
      <c r="AY90" s="209"/>
      <c r="AZ90" s="209"/>
      <c r="BA90" s="209"/>
      <c r="BB90" s="209"/>
      <c r="BC90" s="209"/>
      <c r="BD90" s="209"/>
      <c r="BE90" s="209"/>
      <c r="BF90" s="209"/>
      <c r="BG90" s="209"/>
      <c r="BH90" s="209"/>
      <c r="BI90" s="209"/>
      <c r="BJ90" s="209"/>
      <c r="BK90" s="209"/>
      <c r="BL90" s="209"/>
      <c r="BM90" s="209"/>
      <c r="BN90" s="209"/>
      <c r="BO90" s="209"/>
      <c r="BP90" s="209"/>
      <c r="BQ90" s="209"/>
      <c r="BR90" s="209"/>
      <c r="BS90" s="209"/>
      <c r="BT90" s="209"/>
      <c r="BU90" s="209"/>
      <c r="BV90" s="209"/>
      <c r="BW90" s="209"/>
      <c r="BX90" s="209"/>
      <c r="BY90" s="209"/>
      <c r="BZ90" s="209"/>
      <c r="CA90" s="209"/>
      <c r="CB90" s="209"/>
      <c r="CC90" s="209"/>
      <c r="CD90" s="209"/>
      <c r="CE90" s="209"/>
      <c r="CF90" s="209"/>
      <c r="CG90" s="209"/>
      <c r="CH90" s="209"/>
      <c r="CI90" s="209"/>
      <c r="CJ90" s="209"/>
      <c r="CK90" s="209"/>
      <c r="CL90" s="209"/>
      <c r="CM90" s="209"/>
      <c r="CN90" s="209"/>
      <c r="CO90" s="209"/>
      <c r="CP90" s="209"/>
      <c r="CQ90" s="209"/>
      <c r="CR90" s="209"/>
      <c r="CS90" s="209"/>
      <c r="CT90" s="209"/>
      <c r="CU90" s="209"/>
    </row>
    <row r="91" spans="1:99" ht="50.1" customHeight="1">
      <c r="A91" s="464"/>
      <c r="B91" s="405"/>
      <c r="C91" s="440" t="s">
        <v>284</v>
      </c>
      <c r="D91" s="429" t="s">
        <v>285</v>
      </c>
      <c r="E91" s="429" t="s">
        <v>286</v>
      </c>
      <c r="F91" s="402" t="s">
        <v>271</v>
      </c>
      <c r="G91" s="376" t="s">
        <v>87</v>
      </c>
      <c r="H91" s="376" t="s">
        <v>8</v>
      </c>
      <c r="I91" s="402" t="s">
        <v>272</v>
      </c>
      <c r="J91" s="429" t="s">
        <v>285</v>
      </c>
      <c r="K91" s="382" t="s">
        <v>287</v>
      </c>
      <c r="L91" s="376" t="s">
        <v>154</v>
      </c>
      <c r="M91" s="380" t="s">
        <v>275</v>
      </c>
      <c r="N91" s="387" t="s">
        <v>288</v>
      </c>
      <c r="O91" s="373"/>
      <c r="P91" s="373"/>
      <c r="Q91" s="373"/>
      <c r="R91" s="373"/>
      <c r="S91" s="373"/>
      <c r="T91" s="373"/>
      <c r="U91" s="209"/>
      <c r="V91" s="374"/>
      <c r="W91" s="374"/>
      <c r="X91" s="375"/>
      <c r="Y91" s="374"/>
      <c r="Z91" s="240"/>
      <c r="AA91" s="371"/>
      <c r="AB91" s="371"/>
      <c r="AC91" s="371"/>
      <c r="AD91" s="371"/>
      <c r="AE91" s="371"/>
      <c r="AF91" s="371"/>
      <c r="AG91" s="371"/>
      <c r="AH91" s="371"/>
      <c r="AI91" s="371"/>
      <c r="AJ91" s="371"/>
      <c r="AK91" s="371"/>
      <c r="AL91" s="371"/>
      <c r="AM91" s="371"/>
      <c r="AN91" s="371"/>
      <c r="AO91" s="371"/>
      <c r="AP91" s="371"/>
      <c r="AQ91" s="371"/>
      <c r="AR91" s="371"/>
      <c r="AS91" s="371"/>
      <c r="AT91" s="209"/>
      <c r="AU91" s="209"/>
      <c r="AV91" s="209"/>
      <c r="AW91" s="209"/>
      <c r="AX91" s="209"/>
      <c r="AY91" s="209"/>
      <c r="AZ91" s="209"/>
      <c r="BA91" s="209"/>
      <c r="BB91" s="209"/>
      <c r="BC91" s="209"/>
      <c r="BD91" s="209"/>
      <c r="BE91" s="209"/>
      <c r="BF91" s="209"/>
      <c r="BG91" s="209"/>
      <c r="BH91" s="209"/>
      <c r="BI91" s="209"/>
      <c r="BJ91" s="209"/>
      <c r="BK91" s="209"/>
      <c r="BL91" s="209"/>
      <c r="BM91" s="209"/>
      <c r="BN91" s="209"/>
      <c r="BO91" s="209"/>
      <c r="BP91" s="209"/>
      <c r="BQ91" s="209"/>
      <c r="BR91" s="209"/>
      <c r="BS91" s="209"/>
      <c r="BT91" s="209"/>
      <c r="BU91" s="209"/>
      <c r="BV91" s="209"/>
      <c r="BW91" s="209"/>
      <c r="BX91" s="209"/>
      <c r="BY91" s="209"/>
      <c r="BZ91" s="209"/>
      <c r="CA91" s="209"/>
      <c r="CB91" s="209"/>
      <c r="CC91" s="209"/>
      <c r="CD91" s="209"/>
      <c r="CE91" s="209"/>
      <c r="CF91" s="209"/>
      <c r="CG91" s="209"/>
      <c r="CH91" s="209"/>
      <c r="CI91" s="209"/>
      <c r="CJ91" s="209"/>
      <c r="CK91" s="209"/>
      <c r="CL91" s="209"/>
      <c r="CM91" s="209"/>
      <c r="CN91" s="209"/>
      <c r="CO91" s="209"/>
      <c r="CP91" s="209"/>
      <c r="CQ91" s="209"/>
      <c r="CR91" s="209"/>
      <c r="CS91" s="209"/>
      <c r="CT91" s="209"/>
      <c r="CU91" s="209"/>
    </row>
    <row r="92" spans="1:99" ht="54.75" customHeight="1">
      <c r="A92" s="464"/>
      <c r="B92" s="457"/>
      <c r="C92" s="441"/>
      <c r="D92" s="434"/>
      <c r="E92" s="434"/>
      <c r="F92" s="423"/>
      <c r="G92" s="377"/>
      <c r="H92" s="377"/>
      <c r="I92" s="423"/>
      <c r="J92" s="434"/>
      <c r="K92" s="383"/>
      <c r="L92" s="377"/>
      <c r="M92" s="381"/>
      <c r="N92" s="387"/>
      <c r="O92" s="373"/>
      <c r="P92" s="373"/>
      <c r="Q92" s="373"/>
      <c r="R92" s="373"/>
      <c r="S92" s="373"/>
      <c r="T92" s="373"/>
      <c r="U92" s="209"/>
      <c r="V92" s="374"/>
      <c r="W92" s="374"/>
      <c r="X92" s="375"/>
      <c r="Y92" s="374"/>
      <c r="Z92" s="240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K92" s="371"/>
      <c r="AL92" s="371"/>
      <c r="AM92" s="371"/>
      <c r="AN92" s="371"/>
      <c r="AO92" s="371"/>
      <c r="AP92" s="371"/>
      <c r="AQ92" s="371"/>
      <c r="AR92" s="371"/>
      <c r="AS92" s="371"/>
      <c r="AT92" s="209"/>
      <c r="AU92" s="209"/>
      <c r="AV92" s="209"/>
      <c r="AW92" s="209"/>
      <c r="AX92" s="209"/>
      <c r="AY92" s="209"/>
      <c r="AZ92" s="209"/>
      <c r="BA92" s="209"/>
      <c r="BB92" s="209"/>
      <c r="BC92" s="209"/>
      <c r="BD92" s="209"/>
      <c r="BE92" s="209"/>
      <c r="BF92" s="209"/>
      <c r="BG92" s="209"/>
      <c r="BH92" s="209"/>
      <c r="BI92" s="209"/>
      <c r="BJ92" s="209"/>
      <c r="BK92" s="209"/>
      <c r="BL92" s="209"/>
      <c r="BM92" s="209"/>
      <c r="BN92" s="209"/>
      <c r="BO92" s="209"/>
      <c r="BP92" s="209"/>
      <c r="BQ92" s="209"/>
      <c r="BR92" s="209"/>
      <c r="BS92" s="209"/>
      <c r="BT92" s="209"/>
      <c r="BU92" s="209"/>
      <c r="BV92" s="209"/>
      <c r="BW92" s="209"/>
      <c r="BX92" s="209"/>
      <c r="BY92" s="209"/>
      <c r="BZ92" s="209"/>
      <c r="CA92" s="209"/>
      <c r="CB92" s="209"/>
      <c r="CC92" s="209"/>
      <c r="CD92" s="209"/>
      <c r="CE92" s="209"/>
      <c r="CF92" s="209"/>
      <c r="CG92" s="209"/>
      <c r="CH92" s="209"/>
      <c r="CI92" s="209"/>
      <c r="CJ92" s="209"/>
      <c r="CK92" s="209"/>
      <c r="CL92" s="209"/>
      <c r="CM92" s="209"/>
      <c r="CN92" s="209"/>
      <c r="CO92" s="209"/>
      <c r="CP92" s="209"/>
      <c r="CQ92" s="209"/>
      <c r="CR92" s="209"/>
      <c r="CS92" s="209"/>
      <c r="CT92" s="209"/>
      <c r="CU92" s="209"/>
    </row>
    <row r="93" spans="1:99" ht="50.1" customHeight="1">
      <c r="A93" s="464"/>
      <c r="B93" s="458" t="s">
        <v>289</v>
      </c>
      <c r="C93" s="443" t="s">
        <v>268</v>
      </c>
      <c r="D93" s="398" t="s">
        <v>290</v>
      </c>
      <c r="E93" s="426" t="s">
        <v>291</v>
      </c>
      <c r="F93" s="398" t="s">
        <v>292</v>
      </c>
      <c r="G93" s="394" t="s">
        <v>87</v>
      </c>
      <c r="H93" s="394" t="s">
        <v>8</v>
      </c>
      <c r="I93" s="394" t="s">
        <v>272</v>
      </c>
      <c r="J93" s="398" t="s">
        <v>290</v>
      </c>
      <c r="K93" s="398" t="s">
        <v>293</v>
      </c>
      <c r="L93" s="394" t="s">
        <v>154</v>
      </c>
      <c r="M93" s="390" t="s">
        <v>292</v>
      </c>
      <c r="N93" s="439" t="s">
        <v>294</v>
      </c>
      <c r="O93" s="372"/>
      <c r="P93" s="372"/>
      <c r="Q93" s="372"/>
      <c r="R93" s="372"/>
      <c r="S93" s="372"/>
      <c r="T93" s="372"/>
      <c r="U93" s="209"/>
      <c r="V93" s="374"/>
      <c r="W93" s="374"/>
      <c r="X93" s="375"/>
      <c r="Y93" s="374"/>
      <c r="Z93" s="240"/>
      <c r="AA93" s="371"/>
      <c r="AB93" s="371"/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209"/>
      <c r="AU93" s="209"/>
      <c r="AV93" s="209"/>
      <c r="AW93" s="209"/>
      <c r="AX93" s="209"/>
      <c r="AY93" s="209"/>
      <c r="AZ93" s="209"/>
      <c r="BA93" s="209"/>
      <c r="BB93" s="209"/>
      <c r="BC93" s="209"/>
      <c r="BD93" s="209"/>
      <c r="BE93" s="209"/>
      <c r="BF93" s="209"/>
      <c r="BG93" s="209"/>
      <c r="BH93" s="209"/>
      <c r="BI93" s="209"/>
      <c r="BJ93" s="209"/>
      <c r="BK93" s="209"/>
      <c r="BL93" s="209"/>
      <c r="BM93" s="209"/>
      <c r="BN93" s="209"/>
      <c r="BO93" s="209"/>
      <c r="BP93" s="209"/>
      <c r="BQ93" s="209"/>
      <c r="BR93" s="209"/>
      <c r="BS93" s="209"/>
      <c r="BT93" s="209"/>
      <c r="BU93" s="209"/>
      <c r="BV93" s="209"/>
      <c r="BW93" s="209"/>
      <c r="BX93" s="209"/>
      <c r="BY93" s="209"/>
      <c r="BZ93" s="209"/>
      <c r="CA93" s="209"/>
      <c r="CB93" s="209"/>
      <c r="CC93" s="209"/>
      <c r="CD93" s="209"/>
      <c r="CE93" s="209"/>
      <c r="CF93" s="209"/>
      <c r="CG93" s="209"/>
      <c r="CH93" s="209"/>
      <c r="CI93" s="209"/>
      <c r="CJ93" s="209"/>
      <c r="CK93" s="209"/>
      <c r="CL93" s="209"/>
      <c r="CM93" s="209"/>
      <c r="CN93" s="209"/>
      <c r="CO93" s="209"/>
      <c r="CP93" s="209"/>
      <c r="CQ93" s="209"/>
      <c r="CR93" s="209"/>
      <c r="CS93" s="209"/>
      <c r="CT93" s="209"/>
      <c r="CU93" s="209"/>
    </row>
    <row r="94" spans="1:99" ht="48" customHeight="1">
      <c r="A94" s="464"/>
      <c r="B94" s="459"/>
      <c r="C94" s="444"/>
      <c r="D94" s="385"/>
      <c r="E94" s="398"/>
      <c r="F94" s="385"/>
      <c r="G94" s="376"/>
      <c r="H94" s="376"/>
      <c r="I94" s="376"/>
      <c r="J94" s="385"/>
      <c r="K94" s="385"/>
      <c r="L94" s="376"/>
      <c r="M94" s="389"/>
      <c r="N94" s="439"/>
      <c r="O94" s="372"/>
      <c r="P94" s="372"/>
      <c r="Q94" s="372"/>
      <c r="R94" s="372"/>
      <c r="S94" s="372"/>
      <c r="T94" s="372"/>
      <c r="U94" s="209"/>
      <c r="V94" s="374"/>
      <c r="W94" s="374"/>
      <c r="X94" s="375"/>
      <c r="Y94" s="374"/>
      <c r="Z94" s="240"/>
      <c r="AA94" s="371"/>
      <c r="AB94" s="371"/>
      <c r="AC94" s="371"/>
      <c r="AD94" s="371"/>
      <c r="AE94" s="371"/>
      <c r="AF94" s="371"/>
      <c r="AG94" s="371"/>
      <c r="AH94" s="371"/>
      <c r="AI94" s="371"/>
      <c r="AJ94" s="371"/>
      <c r="AK94" s="371"/>
      <c r="AL94" s="371"/>
      <c r="AM94" s="371"/>
      <c r="AN94" s="371"/>
      <c r="AO94" s="371"/>
      <c r="AP94" s="371"/>
      <c r="AQ94" s="371"/>
      <c r="AR94" s="371"/>
      <c r="AS94" s="371"/>
      <c r="AT94" s="209"/>
      <c r="AU94" s="209"/>
      <c r="AV94" s="209"/>
      <c r="AW94" s="209"/>
      <c r="AX94" s="209"/>
      <c r="AY94" s="209"/>
      <c r="AZ94" s="209"/>
      <c r="BA94" s="209"/>
      <c r="BB94" s="209"/>
      <c r="BC94" s="209"/>
      <c r="BD94" s="209"/>
      <c r="BE94" s="209"/>
      <c r="BF94" s="209"/>
      <c r="BG94" s="209"/>
      <c r="BH94" s="209"/>
      <c r="BI94" s="209"/>
      <c r="BJ94" s="209"/>
      <c r="BK94" s="209"/>
      <c r="BL94" s="209"/>
      <c r="BM94" s="209"/>
      <c r="BN94" s="209"/>
      <c r="BO94" s="209"/>
      <c r="BP94" s="209"/>
      <c r="BQ94" s="209"/>
      <c r="BR94" s="209"/>
      <c r="BS94" s="209"/>
      <c r="BT94" s="209"/>
      <c r="BU94" s="209"/>
      <c r="BV94" s="209"/>
      <c r="BW94" s="209"/>
      <c r="BX94" s="209"/>
      <c r="BY94" s="209"/>
      <c r="BZ94" s="209"/>
      <c r="CA94" s="209"/>
      <c r="CB94" s="209"/>
      <c r="CC94" s="209"/>
      <c r="CD94" s="209"/>
      <c r="CE94" s="209"/>
      <c r="CF94" s="209"/>
      <c r="CG94" s="209"/>
      <c r="CH94" s="209"/>
      <c r="CI94" s="209"/>
      <c r="CJ94" s="209"/>
      <c r="CK94" s="209"/>
      <c r="CL94" s="209"/>
      <c r="CM94" s="209"/>
      <c r="CN94" s="209"/>
      <c r="CO94" s="209"/>
      <c r="CP94" s="209"/>
      <c r="CQ94" s="209"/>
      <c r="CR94" s="209"/>
      <c r="CS94" s="209"/>
      <c r="CT94" s="209"/>
      <c r="CU94" s="209"/>
    </row>
    <row r="95" spans="1:99" ht="50.1" customHeight="1">
      <c r="A95" s="464"/>
      <c r="B95" s="459"/>
      <c r="C95" s="422" t="s">
        <v>277</v>
      </c>
      <c r="D95" s="385" t="s">
        <v>295</v>
      </c>
      <c r="E95" s="385" t="s">
        <v>296</v>
      </c>
      <c r="F95" s="397" t="s">
        <v>292</v>
      </c>
      <c r="G95" s="394" t="s">
        <v>87</v>
      </c>
      <c r="H95" s="376" t="s">
        <v>8</v>
      </c>
      <c r="I95" s="394" t="s">
        <v>272</v>
      </c>
      <c r="J95" s="385" t="s">
        <v>295</v>
      </c>
      <c r="K95" s="385" t="s">
        <v>297</v>
      </c>
      <c r="L95" s="376" t="s">
        <v>154</v>
      </c>
      <c r="M95" s="442" t="s">
        <v>292</v>
      </c>
      <c r="N95" s="439" t="s">
        <v>298</v>
      </c>
      <c r="O95" s="372"/>
      <c r="P95" s="372"/>
      <c r="Q95" s="372"/>
      <c r="R95" s="372"/>
      <c r="S95" s="372"/>
      <c r="T95" s="372"/>
      <c r="U95" s="209"/>
      <c r="V95" s="374"/>
      <c r="W95" s="374"/>
      <c r="X95" s="375"/>
      <c r="Y95" s="374"/>
      <c r="Z95" s="240"/>
      <c r="AA95" s="371"/>
      <c r="AB95" s="371"/>
      <c r="AC95" s="371"/>
      <c r="AD95" s="371"/>
      <c r="AE95" s="371"/>
      <c r="AF95" s="371"/>
      <c r="AG95" s="371"/>
      <c r="AH95" s="371"/>
      <c r="AI95" s="371"/>
      <c r="AJ95" s="371"/>
      <c r="AK95" s="371"/>
      <c r="AL95" s="371"/>
      <c r="AM95" s="371"/>
      <c r="AN95" s="371"/>
      <c r="AO95" s="371"/>
      <c r="AP95" s="371"/>
      <c r="AQ95" s="371"/>
      <c r="AR95" s="371"/>
      <c r="AS95" s="371"/>
      <c r="AT95" s="209"/>
      <c r="AU95" s="209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209"/>
      <c r="BG95" s="209"/>
      <c r="BH95" s="209"/>
      <c r="BI95" s="209"/>
      <c r="BJ95" s="209"/>
      <c r="BK95" s="209"/>
      <c r="BL95" s="209"/>
      <c r="BM95" s="209"/>
      <c r="BN95" s="209"/>
      <c r="BO95" s="209"/>
      <c r="BP95" s="209"/>
      <c r="BQ95" s="209"/>
      <c r="BR95" s="209"/>
      <c r="BS95" s="209"/>
      <c r="BT95" s="209"/>
      <c r="BU95" s="209"/>
      <c r="BV95" s="209"/>
      <c r="BW95" s="209"/>
      <c r="BX95" s="209"/>
      <c r="BY95" s="209"/>
      <c r="BZ95" s="209"/>
      <c r="CA95" s="209"/>
      <c r="CB95" s="209"/>
      <c r="CC95" s="209"/>
      <c r="CD95" s="209"/>
      <c r="CE95" s="209"/>
      <c r="CF95" s="209"/>
      <c r="CG95" s="209"/>
      <c r="CH95" s="209"/>
      <c r="CI95" s="209"/>
      <c r="CJ95" s="209"/>
      <c r="CK95" s="209"/>
      <c r="CL95" s="209"/>
      <c r="CM95" s="209"/>
      <c r="CN95" s="209"/>
      <c r="CO95" s="209"/>
      <c r="CP95" s="209"/>
      <c r="CQ95" s="209"/>
      <c r="CR95" s="209"/>
      <c r="CS95" s="209"/>
      <c r="CT95" s="209"/>
      <c r="CU95" s="209"/>
    </row>
    <row r="96" spans="1:99" ht="52.5" customHeight="1">
      <c r="A96" s="464"/>
      <c r="B96" s="459"/>
      <c r="C96" s="422"/>
      <c r="D96" s="385"/>
      <c r="E96" s="385"/>
      <c r="F96" s="398"/>
      <c r="G96" s="376"/>
      <c r="H96" s="376"/>
      <c r="I96" s="376"/>
      <c r="J96" s="385"/>
      <c r="K96" s="385"/>
      <c r="L96" s="376"/>
      <c r="M96" s="390"/>
      <c r="N96" s="439"/>
      <c r="O96" s="372"/>
      <c r="P96" s="372"/>
      <c r="Q96" s="372"/>
      <c r="R96" s="372"/>
      <c r="S96" s="372"/>
      <c r="T96" s="372"/>
      <c r="U96" s="209"/>
      <c r="V96" s="374"/>
      <c r="W96" s="374"/>
      <c r="X96" s="375"/>
      <c r="Y96" s="374"/>
      <c r="Z96" s="240"/>
      <c r="AA96" s="371"/>
      <c r="AB96" s="371"/>
      <c r="AC96" s="371"/>
      <c r="AD96" s="371"/>
      <c r="AE96" s="371"/>
      <c r="AF96" s="371"/>
      <c r="AG96" s="371"/>
      <c r="AH96" s="371"/>
      <c r="AI96" s="371"/>
      <c r="AJ96" s="371"/>
      <c r="AK96" s="371"/>
      <c r="AL96" s="371"/>
      <c r="AM96" s="371"/>
      <c r="AN96" s="371"/>
      <c r="AO96" s="371"/>
      <c r="AP96" s="371"/>
      <c r="AQ96" s="371"/>
      <c r="AR96" s="371"/>
      <c r="AS96" s="371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209"/>
      <c r="BG96" s="209"/>
      <c r="BH96" s="209"/>
      <c r="BI96" s="209"/>
      <c r="BJ96" s="209"/>
      <c r="BK96" s="209"/>
      <c r="BL96" s="209"/>
      <c r="BM96" s="209"/>
      <c r="BN96" s="209"/>
      <c r="BO96" s="209"/>
      <c r="BP96" s="209"/>
      <c r="BQ96" s="209"/>
      <c r="BR96" s="209"/>
      <c r="BS96" s="209"/>
      <c r="BT96" s="209"/>
      <c r="BU96" s="209"/>
      <c r="BV96" s="209"/>
      <c r="BW96" s="209"/>
      <c r="BX96" s="209"/>
      <c r="BY96" s="209"/>
      <c r="BZ96" s="209"/>
      <c r="CA96" s="209"/>
      <c r="CB96" s="209"/>
      <c r="CC96" s="209"/>
      <c r="CD96" s="209"/>
      <c r="CE96" s="209"/>
      <c r="CF96" s="209"/>
      <c r="CG96" s="209"/>
      <c r="CH96" s="209"/>
      <c r="CI96" s="209"/>
      <c r="CJ96" s="209"/>
      <c r="CK96" s="209"/>
      <c r="CL96" s="209"/>
      <c r="CM96" s="209"/>
      <c r="CN96" s="209"/>
      <c r="CO96" s="209"/>
      <c r="CP96" s="209"/>
      <c r="CQ96" s="209"/>
      <c r="CR96" s="209"/>
      <c r="CS96" s="209"/>
      <c r="CT96" s="209"/>
      <c r="CU96" s="209"/>
    </row>
    <row r="97" spans="1:99" ht="50.1" customHeight="1">
      <c r="A97" s="464"/>
      <c r="B97" s="459"/>
      <c r="C97" s="445" t="s">
        <v>284</v>
      </c>
      <c r="D97" s="385" t="s">
        <v>299</v>
      </c>
      <c r="E97" s="385" t="s">
        <v>284</v>
      </c>
      <c r="F97" s="407" t="s">
        <v>292</v>
      </c>
      <c r="G97" s="376" t="s">
        <v>87</v>
      </c>
      <c r="H97" s="376" t="s">
        <v>8</v>
      </c>
      <c r="I97" s="376" t="s">
        <v>272</v>
      </c>
      <c r="J97" s="385" t="s">
        <v>300</v>
      </c>
      <c r="K97" s="385" t="s">
        <v>301</v>
      </c>
      <c r="L97" s="376" t="s">
        <v>154</v>
      </c>
      <c r="M97" s="389" t="s">
        <v>292</v>
      </c>
      <c r="N97" s="439" t="s">
        <v>302</v>
      </c>
      <c r="O97" s="372"/>
      <c r="P97" s="372"/>
      <c r="Q97" s="372"/>
      <c r="R97" s="372"/>
      <c r="S97" s="372"/>
      <c r="T97" s="372"/>
      <c r="U97" s="209"/>
      <c r="V97" s="374"/>
      <c r="W97" s="374"/>
      <c r="X97" s="375"/>
      <c r="Y97" s="374"/>
      <c r="Z97" s="240"/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/>
      <c r="AS97" s="371"/>
      <c r="AT97" s="209"/>
      <c r="AU97" s="209"/>
      <c r="AV97" s="209"/>
      <c r="AW97" s="209"/>
      <c r="AX97" s="209"/>
      <c r="AY97" s="209"/>
      <c r="AZ97" s="209"/>
      <c r="BA97" s="209"/>
      <c r="BB97" s="209"/>
      <c r="BC97" s="209"/>
      <c r="BD97" s="209"/>
      <c r="BE97" s="209"/>
      <c r="BF97" s="209"/>
      <c r="BG97" s="209"/>
      <c r="BH97" s="209"/>
      <c r="BI97" s="209"/>
      <c r="BJ97" s="209"/>
      <c r="BK97" s="209"/>
      <c r="BL97" s="209"/>
      <c r="BM97" s="209"/>
      <c r="BN97" s="209"/>
      <c r="BO97" s="209"/>
      <c r="BP97" s="209"/>
      <c r="BQ97" s="209"/>
      <c r="BR97" s="209"/>
      <c r="BS97" s="209"/>
      <c r="BT97" s="209"/>
      <c r="BU97" s="209"/>
      <c r="BV97" s="209"/>
      <c r="BW97" s="209"/>
      <c r="BX97" s="209"/>
      <c r="BY97" s="209"/>
      <c r="BZ97" s="209"/>
      <c r="CA97" s="209"/>
      <c r="CB97" s="209"/>
      <c r="CC97" s="209"/>
      <c r="CD97" s="209"/>
      <c r="CE97" s="209"/>
      <c r="CF97" s="209"/>
      <c r="CG97" s="209"/>
      <c r="CH97" s="209"/>
      <c r="CI97" s="209"/>
      <c r="CJ97" s="209"/>
      <c r="CK97" s="209"/>
      <c r="CL97" s="209"/>
      <c r="CM97" s="209"/>
      <c r="CN97" s="209"/>
      <c r="CO97" s="209"/>
      <c r="CP97" s="209"/>
      <c r="CQ97" s="209"/>
      <c r="CR97" s="209"/>
      <c r="CS97" s="209"/>
      <c r="CT97" s="209"/>
      <c r="CU97" s="209"/>
    </row>
    <row r="98" spans="1:99" ht="50.1" customHeight="1">
      <c r="A98" s="471"/>
      <c r="B98" s="460"/>
      <c r="C98" s="446"/>
      <c r="D98" s="386"/>
      <c r="E98" s="386"/>
      <c r="F98" s="418"/>
      <c r="G98" s="377"/>
      <c r="H98" s="377"/>
      <c r="I98" s="377"/>
      <c r="J98" s="386"/>
      <c r="K98" s="386"/>
      <c r="L98" s="377"/>
      <c r="M98" s="476"/>
      <c r="N98" s="439"/>
      <c r="O98" s="372"/>
      <c r="P98" s="372"/>
      <c r="Q98" s="372"/>
      <c r="R98" s="372"/>
      <c r="S98" s="372"/>
      <c r="T98" s="372"/>
      <c r="U98" s="209"/>
      <c r="V98" s="374"/>
      <c r="W98" s="374"/>
      <c r="X98" s="375"/>
      <c r="Y98" s="374"/>
      <c r="Z98" s="240"/>
      <c r="AA98" s="371"/>
      <c r="AB98" s="371"/>
      <c r="AC98" s="371"/>
      <c r="AD98" s="371"/>
      <c r="AE98" s="371"/>
      <c r="AF98" s="371"/>
      <c r="AG98" s="371"/>
      <c r="AH98" s="371"/>
      <c r="AI98" s="371"/>
      <c r="AJ98" s="371"/>
      <c r="AK98" s="371"/>
      <c r="AL98" s="371"/>
      <c r="AM98" s="371"/>
      <c r="AN98" s="371"/>
      <c r="AO98" s="371"/>
      <c r="AP98" s="371"/>
      <c r="AQ98" s="371"/>
      <c r="AR98" s="371"/>
      <c r="AS98" s="371"/>
      <c r="AT98" s="209"/>
      <c r="AU98" s="209"/>
      <c r="AV98" s="209"/>
      <c r="AW98" s="209"/>
      <c r="AX98" s="209"/>
      <c r="AY98" s="209"/>
      <c r="AZ98" s="209"/>
      <c r="BA98" s="209"/>
      <c r="BB98" s="209"/>
      <c r="BC98" s="209"/>
      <c r="BD98" s="209"/>
      <c r="BE98" s="209"/>
      <c r="BF98" s="209"/>
      <c r="BG98" s="209"/>
      <c r="BH98" s="209"/>
      <c r="BI98" s="209"/>
      <c r="BJ98" s="209"/>
      <c r="BK98" s="209"/>
      <c r="BL98" s="209"/>
      <c r="BM98" s="209"/>
      <c r="BN98" s="209"/>
      <c r="BO98" s="209"/>
      <c r="BP98" s="209"/>
      <c r="BQ98" s="209"/>
      <c r="BR98" s="209"/>
      <c r="BS98" s="209"/>
      <c r="BT98" s="209"/>
      <c r="BU98" s="209"/>
      <c r="BV98" s="209"/>
      <c r="BW98" s="209"/>
      <c r="BX98" s="209"/>
      <c r="BY98" s="209"/>
      <c r="BZ98" s="209"/>
      <c r="CA98" s="209"/>
      <c r="CB98" s="209"/>
      <c r="CC98" s="209"/>
      <c r="CD98" s="209"/>
      <c r="CE98" s="209"/>
      <c r="CF98" s="209"/>
      <c r="CG98" s="209"/>
      <c r="CH98" s="209"/>
      <c r="CI98" s="209"/>
      <c r="CJ98" s="209"/>
      <c r="CK98" s="209"/>
      <c r="CL98" s="209"/>
      <c r="CM98" s="209"/>
      <c r="CN98" s="209"/>
      <c r="CO98" s="209"/>
      <c r="CP98" s="209"/>
      <c r="CQ98" s="209"/>
      <c r="CR98" s="209"/>
      <c r="CS98" s="209"/>
      <c r="CT98" s="209"/>
      <c r="CU98" s="209"/>
    </row>
    <row r="99" spans="1:99" ht="50.1" customHeight="1">
      <c r="A99" s="463" t="s">
        <v>303</v>
      </c>
      <c r="B99" s="458" t="s">
        <v>304</v>
      </c>
      <c r="C99" s="396" t="s">
        <v>305</v>
      </c>
      <c r="D99" s="414" t="s">
        <v>306</v>
      </c>
      <c r="E99" s="414" t="s">
        <v>307</v>
      </c>
      <c r="F99" s="394" t="s">
        <v>308</v>
      </c>
      <c r="G99" s="394" t="s">
        <v>87</v>
      </c>
      <c r="H99" s="398" t="s">
        <v>8</v>
      </c>
      <c r="I99" s="394" t="s">
        <v>27</v>
      </c>
      <c r="J99" s="398" t="s">
        <v>305</v>
      </c>
      <c r="K99" s="414" t="s">
        <v>306</v>
      </c>
      <c r="L99" s="394" t="s">
        <v>154</v>
      </c>
      <c r="M99" s="378" t="s">
        <v>308</v>
      </c>
      <c r="N99" s="384" t="s">
        <v>309</v>
      </c>
      <c r="O99" s="373"/>
      <c r="P99" s="373"/>
      <c r="Q99" s="373"/>
      <c r="R99" s="373"/>
      <c r="S99" s="373"/>
      <c r="T99" s="373"/>
      <c r="U99" s="209"/>
      <c r="V99" s="374"/>
      <c r="W99" s="374"/>
      <c r="X99" s="375"/>
      <c r="Y99" s="374"/>
      <c r="Z99" s="240"/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209"/>
      <c r="AU99" s="209"/>
      <c r="AV99" s="209"/>
      <c r="AW99" s="209"/>
      <c r="AX99" s="209"/>
      <c r="AY99" s="209"/>
      <c r="AZ99" s="209"/>
      <c r="BA99" s="209"/>
      <c r="BB99" s="209"/>
      <c r="BC99" s="209"/>
      <c r="BD99" s="209"/>
      <c r="BE99" s="209"/>
      <c r="BF99" s="209"/>
      <c r="BG99" s="209"/>
      <c r="BH99" s="209"/>
      <c r="BI99" s="209"/>
      <c r="BJ99" s="209"/>
      <c r="BK99" s="209"/>
      <c r="BL99" s="209"/>
      <c r="BM99" s="209"/>
      <c r="BN99" s="209"/>
      <c r="BO99" s="209"/>
      <c r="BP99" s="209"/>
      <c r="BQ99" s="209"/>
      <c r="BR99" s="209"/>
      <c r="BS99" s="209"/>
      <c r="BT99" s="209"/>
      <c r="BU99" s="209"/>
      <c r="BV99" s="209"/>
      <c r="BW99" s="209"/>
      <c r="BX99" s="209"/>
      <c r="BY99" s="209"/>
      <c r="BZ99" s="209"/>
      <c r="CA99" s="209"/>
      <c r="CB99" s="209"/>
      <c r="CC99" s="209"/>
      <c r="CD99" s="209"/>
      <c r="CE99" s="209"/>
      <c r="CF99" s="209"/>
      <c r="CG99" s="209"/>
      <c r="CH99" s="209"/>
      <c r="CI99" s="209"/>
      <c r="CJ99" s="209"/>
      <c r="CK99" s="209"/>
      <c r="CL99" s="209"/>
      <c r="CM99" s="209"/>
      <c r="CN99" s="209"/>
      <c r="CO99" s="209"/>
      <c r="CP99" s="209"/>
      <c r="CQ99" s="209"/>
      <c r="CR99" s="209"/>
      <c r="CS99" s="209"/>
      <c r="CT99" s="209"/>
      <c r="CU99" s="209"/>
    </row>
    <row r="100" spans="1:99" ht="48.75" customHeight="1">
      <c r="A100" s="464"/>
      <c r="B100" s="459"/>
      <c r="C100" s="424"/>
      <c r="D100" s="429"/>
      <c r="E100" s="429"/>
      <c r="F100" s="376"/>
      <c r="G100" s="376"/>
      <c r="H100" s="385"/>
      <c r="I100" s="376"/>
      <c r="J100" s="385"/>
      <c r="K100" s="429"/>
      <c r="L100" s="376"/>
      <c r="M100" s="379"/>
      <c r="N100" s="384"/>
      <c r="O100" s="373"/>
      <c r="P100" s="373"/>
      <c r="Q100" s="373"/>
      <c r="R100" s="373"/>
      <c r="S100" s="373"/>
      <c r="T100" s="373"/>
      <c r="U100" s="209"/>
      <c r="V100" s="374"/>
      <c r="W100" s="374"/>
      <c r="X100" s="375"/>
      <c r="Y100" s="374"/>
      <c r="Z100" s="240"/>
      <c r="AA100" s="371"/>
      <c r="AB100" s="371"/>
      <c r="AC100" s="371"/>
      <c r="AD100" s="371"/>
      <c r="AE100" s="371"/>
      <c r="AF100" s="371"/>
      <c r="AG100" s="371"/>
      <c r="AH100" s="371"/>
      <c r="AI100" s="371"/>
      <c r="AJ100" s="371"/>
      <c r="AK100" s="371"/>
      <c r="AL100" s="371"/>
      <c r="AM100" s="371"/>
      <c r="AN100" s="371"/>
      <c r="AO100" s="371"/>
      <c r="AP100" s="371"/>
      <c r="AQ100" s="371"/>
      <c r="AR100" s="371"/>
      <c r="AS100" s="371"/>
      <c r="AT100" s="209"/>
      <c r="AU100" s="209"/>
      <c r="AV100" s="209"/>
      <c r="AW100" s="209"/>
      <c r="AX100" s="209"/>
      <c r="AY100" s="209"/>
      <c r="AZ100" s="209"/>
      <c r="BA100" s="209"/>
      <c r="BB100" s="209"/>
      <c r="BC100" s="209"/>
      <c r="BD100" s="209"/>
      <c r="BE100" s="209"/>
      <c r="BF100" s="209"/>
      <c r="BG100" s="209"/>
      <c r="BH100" s="209"/>
      <c r="BI100" s="209"/>
      <c r="BJ100" s="209"/>
      <c r="BK100" s="209"/>
      <c r="BL100" s="209"/>
      <c r="BM100" s="209"/>
      <c r="BN100" s="209"/>
      <c r="BO100" s="209"/>
      <c r="BP100" s="209"/>
      <c r="BQ100" s="209"/>
      <c r="BR100" s="209"/>
      <c r="BS100" s="209"/>
      <c r="BT100" s="209"/>
      <c r="BU100" s="209"/>
      <c r="BV100" s="209"/>
      <c r="BW100" s="209"/>
      <c r="BX100" s="209"/>
      <c r="BY100" s="209"/>
      <c r="BZ100" s="209"/>
      <c r="CA100" s="209"/>
      <c r="CB100" s="209"/>
      <c r="CC100" s="209"/>
      <c r="CD100" s="209"/>
      <c r="CE100" s="209"/>
      <c r="CF100" s="209"/>
      <c r="CG100" s="209"/>
      <c r="CH100" s="209"/>
      <c r="CI100" s="209"/>
      <c r="CJ100" s="209"/>
      <c r="CK100" s="209"/>
      <c r="CL100" s="209"/>
      <c r="CM100" s="209"/>
      <c r="CN100" s="209"/>
      <c r="CO100" s="209"/>
      <c r="CP100" s="209"/>
      <c r="CQ100" s="209"/>
      <c r="CR100" s="209"/>
      <c r="CS100" s="209"/>
      <c r="CT100" s="209"/>
      <c r="CU100" s="209"/>
    </row>
    <row r="101" spans="1:99" ht="50.1" customHeight="1">
      <c r="A101" s="464"/>
      <c r="B101" s="459"/>
      <c r="C101" s="424" t="s">
        <v>310</v>
      </c>
      <c r="D101" s="429" t="s">
        <v>311</v>
      </c>
      <c r="E101" s="429" t="s">
        <v>312</v>
      </c>
      <c r="F101" s="376" t="s">
        <v>308</v>
      </c>
      <c r="G101" s="376" t="s">
        <v>87</v>
      </c>
      <c r="H101" s="385" t="s">
        <v>8</v>
      </c>
      <c r="I101" s="376" t="s">
        <v>27</v>
      </c>
      <c r="J101" s="385" t="s">
        <v>310</v>
      </c>
      <c r="K101" s="429" t="s">
        <v>311</v>
      </c>
      <c r="L101" s="376" t="s">
        <v>154</v>
      </c>
      <c r="M101" s="379" t="s">
        <v>308</v>
      </c>
      <c r="N101" s="384" t="s">
        <v>313</v>
      </c>
      <c r="O101" s="373"/>
      <c r="P101" s="373"/>
      <c r="Q101" s="373"/>
      <c r="R101" s="373"/>
      <c r="S101" s="373"/>
      <c r="T101" s="373"/>
      <c r="U101" s="209"/>
      <c r="V101" s="374"/>
      <c r="W101" s="374"/>
      <c r="X101" s="375"/>
      <c r="Y101" s="374"/>
      <c r="Z101" s="240"/>
      <c r="AA101" s="371"/>
      <c r="AB101" s="371"/>
      <c r="AC101" s="371"/>
      <c r="AD101" s="371"/>
      <c r="AE101" s="371"/>
      <c r="AF101" s="371"/>
      <c r="AG101" s="371"/>
      <c r="AH101" s="371"/>
      <c r="AI101" s="371"/>
      <c r="AJ101" s="371"/>
      <c r="AK101" s="371"/>
      <c r="AL101" s="371"/>
      <c r="AM101" s="371"/>
      <c r="AN101" s="371"/>
      <c r="AO101" s="371"/>
      <c r="AP101" s="371"/>
      <c r="AQ101" s="371"/>
      <c r="AR101" s="371"/>
      <c r="AS101" s="371"/>
      <c r="AT101" s="209"/>
      <c r="AU101" s="209"/>
      <c r="AV101" s="209"/>
      <c r="AW101" s="209"/>
      <c r="AX101" s="209"/>
      <c r="AY101" s="209"/>
      <c r="AZ101" s="209"/>
      <c r="BA101" s="209"/>
      <c r="BB101" s="209"/>
      <c r="BC101" s="209"/>
      <c r="BD101" s="209"/>
      <c r="BE101" s="209"/>
      <c r="BF101" s="209"/>
      <c r="BG101" s="209"/>
      <c r="BH101" s="209"/>
      <c r="BI101" s="209"/>
      <c r="BJ101" s="209"/>
      <c r="BK101" s="209"/>
      <c r="BL101" s="209"/>
      <c r="BM101" s="209"/>
      <c r="BN101" s="209"/>
      <c r="BO101" s="209"/>
      <c r="BP101" s="209"/>
      <c r="BQ101" s="209"/>
      <c r="BR101" s="209"/>
      <c r="BS101" s="209"/>
      <c r="BT101" s="209"/>
      <c r="BU101" s="209"/>
      <c r="BV101" s="209"/>
      <c r="BW101" s="209"/>
      <c r="BX101" s="209"/>
      <c r="BY101" s="209"/>
      <c r="BZ101" s="209"/>
      <c r="CA101" s="209"/>
      <c r="CB101" s="209"/>
      <c r="CC101" s="209"/>
      <c r="CD101" s="209"/>
      <c r="CE101" s="209"/>
      <c r="CF101" s="209"/>
      <c r="CG101" s="209"/>
      <c r="CH101" s="209"/>
      <c r="CI101" s="209"/>
      <c r="CJ101" s="209"/>
      <c r="CK101" s="209"/>
      <c r="CL101" s="209"/>
      <c r="CM101" s="209"/>
      <c r="CN101" s="209"/>
      <c r="CO101" s="209"/>
      <c r="CP101" s="209"/>
      <c r="CQ101" s="209"/>
      <c r="CR101" s="209"/>
      <c r="CS101" s="209"/>
      <c r="CT101" s="209"/>
      <c r="CU101" s="209"/>
    </row>
    <row r="102" spans="1:99" ht="48" customHeight="1">
      <c r="A102" s="464"/>
      <c r="B102" s="459"/>
      <c r="C102" s="424"/>
      <c r="D102" s="429"/>
      <c r="E102" s="429"/>
      <c r="F102" s="376"/>
      <c r="G102" s="376"/>
      <c r="H102" s="385"/>
      <c r="I102" s="376"/>
      <c r="J102" s="385"/>
      <c r="K102" s="429"/>
      <c r="L102" s="376"/>
      <c r="M102" s="379"/>
      <c r="N102" s="384"/>
      <c r="O102" s="373"/>
      <c r="P102" s="373"/>
      <c r="Q102" s="373"/>
      <c r="R102" s="373"/>
      <c r="S102" s="373"/>
      <c r="T102" s="373"/>
      <c r="U102" s="209"/>
      <c r="V102" s="374"/>
      <c r="W102" s="374"/>
      <c r="X102" s="375"/>
      <c r="Y102" s="374"/>
      <c r="Z102" s="240"/>
      <c r="AA102" s="371"/>
      <c r="AB102" s="371"/>
      <c r="AC102" s="371"/>
      <c r="AD102" s="371"/>
      <c r="AE102" s="371"/>
      <c r="AF102" s="371"/>
      <c r="AG102" s="371"/>
      <c r="AH102" s="371"/>
      <c r="AI102" s="371"/>
      <c r="AJ102" s="371"/>
      <c r="AK102" s="371"/>
      <c r="AL102" s="371"/>
      <c r="AM102" s="371"/>
      <c r="AN102" s="371"/>
      <c r="AO102" s="371"/>
      <c r="AP102" s="371"/>
      <c r="AQ102" s="371"/>
      <c r="AR102" s="371"/>
      <c r="AS102" s="371"/>
      <c r="AT102" s="209"/>
      <c r="AU102" s="209"/>
      <c r="AV102" s="209"/>
      <c r="AW102" s="209"/>
      <c r="AX102" s="209"/>
      <c r="AY102" s="209"/>
      <c r="AZ102" s="209"/>
      <c r="BA102" s="209"/>
      <c r="BB102" s="209"/>
      <c r="BC102" s="209"/>
      <c r="BD102" s="209"/>
      <c r="BE102" s="209"/>
      <c r="BF102" s="209"/>
      <c r="BG102" s="209"/>
      <c r="BH102" s="209"/>
      <c r="BI102" s="209"/>
      <c r="BJ102" s="209"/>
      <c r="BK102" s="209"/>
      <c r="BL102" s="209"/>
      <c r="BM102" s="209"/>
      <c r="BN102" s="209"/>
      <c r="BO102" s="209"/>
      <c r="BP102" s="209"/>
      <c r="BQ102" s="209"/>
      <c r="BR102" s="209"/>
      <c r="BS102" s="209"/>
      <c r="BT102" s="209"/>
      <c r="BU102" s="209"/>
      <c r="BV102" s="209"/>
      <c r="BW102" s="209"/>
      <c r="BX102" s="209"/>
      <c r="BY102" s="209"/>
      <c r="BZ102" s="209"/>
      <c r="CA102" s="209"/>
      <c r="CB102" s="209"/>
      <c r="CC102" s="209"/>
      <c r="CD102" s="209"/>
      <c r="CE102" s="209"/>
      <c r="CF102" s="209"/>
      <c r="CG102" s="209"/>
      <c r="CH102" s="209"/>
      <c r="CI102" s="209"/>
      <c r="CJ102" s="209"/>
      <c r="CK102" s="209"/>
      <c r="CL102" s="209"/>
      <c r="CM102" s="209"/>
      <c r="CN102" s="209"/>
      <c r="CO102" s="209"/>
      <c r="CP102" s="209"/>
      <c r="CQ102" s="209"/>
      <c r="CR102" s="209"/>
      <c r="CS102" s="209"/>
      <c r="CT102" s="209"/>
      <c r="CU102" s="209"/>
    </row>
    <row r="103" spans="1:99" ht="50.1" customHeight="1">
      <c r="A103" s="464"/>
      <c r="B103" s="459"/>
      <c r="C103" s="424" t="s">
        <v>314</v>
      </c>
      <c r="D103" s="429" t="s">
        <v>315</v>
      </c>
      <c r="E103" s="429" t="s">
        <v>316</v>
      </c>
      <c r="F103" s="376" t="s">
        <v>308</v>
      </c>
      <c r="G103" s="376" t="s">
        <v>87</v>
      </c>
      <c r="H103" s="376" t="s">
        <v>27</v>
      </c>
      <c r="I103" s="376" t="s">
        <v>27</v>
      </c>
      <c r="J103" s="385" t="s">
        <v>314</v>
      </c>
      <c r="K103" s="382" t="s">
        <v>315</v>
      </c>
      <c r="L103" s="376" t="s">
        <v>154</v>
      </c>
      <c r="M103" s="379" t="s">
        <v>308</v>
      </c>
      <c r="N103" s="384" t="s">
        <v>317</v>
      </c>
      <c r="O103" s="373"/>
      <c r="P103" s="373"/>
      <c r="Q103" s="373"/>
      <c r="R103" s="373"/>
      <c r="S103" s="373"/>
      <c r="T103" s="373"/>
      <c r="U103" s="209"/>
      <c r="V103" s="374"/>
      <c r="W103" s="374"/>
      <c r="X103" s="375"/>
      <c r="Y103" s="374"/>
      <c r="Z103" s="240"/>
      <c r="AA103" s="371"/>
      <c r="AB103" s="371"/>
      <c r="AC103" s="371"/>
      <c r="AD103" s="371"/>
      <c r="AE103" s="371"/>
      <c r="AF103" s="371"/>
      <c r="AG103" s="371"/>
      <c r="AH103" s="371"/>
      <c r="AI103" s="371"/>
      <c r="AJ103" s="371"/>
      <c r="AK103" s="371"/>
      <c r="AL103" s="371"/>
      <c r="AM103" s="371"/>
      <c r="AN103" s="371"/>
      <c r="AO103" s="371"/>
      <c r="AP103" s="371"/>
      <c r="AQ103" s="371"/>
      <c r="AR103" s="371"/>
      <c r="AS103" s="371"/>
      <c r="AT103" s="209"/>
      <c r="AU103" s="209"/>
      <c r="AV103" s="209"/>
      <c r="AW103" s="209"/>
      <c r="AX103" s="209"/>
      <c r="AY103" s="209"/>
      <c r="AZ103" s="209"/>
      <c r="BA103" s="209"/>
      <c r="BB103" s="209"/>
      <c r="BC103" s="209"/>
      <c r="BD103" s="209"/>
      <c r="BE103" s="209"/>
      <c r="BF103" s="209"/>
      <c r="BG103" s="209"/>
      <c r="BH103" s="209"/>
      <c r="BI103" s="209"/>
      <c r="BJ103" s="209"/>
      <c r="BK103" s="209"/>
      <c r="BL103" s="209"/>
      <c r="BM103" s="209"/>
      <c r="BN103" s="209"/>
      <c r="BO103" s="209"/>
      <c r="BP103" s="209"/>
      <c r="BQ103" s="209"/>
      <c r="BR103" s="209"/>
      <c r="BS103" s="209"/>
      <c r="BT103" s="209"/>
      <c r="BU103" s="209"/>
      <c r="BV103" s="209"/>
      <c r="BW103" s="209"/>
      <c r="BX103" s="209"/>
      <c r="BY103" s="209"/>
      <c r="BZ103" s="209"/>
      <c r="CA103" s="209"/>
      <c r="CB103" s="209"/>
      <c r="CC103" s="209"/>
      <c r="CD103" s="209"/>
      <c r="CE103" s="209"/>
      <c r="CF103" s="209"/>
      <c r="CG103" s="209"/>
      <c r="CH103" s="209"/>
      <c r="CI103" s="209"/>
      <c r="CJ103" s="209"/>
      <c r="CK103" s="209"/>
      <c r="CL103" s="209"/>
      <c r="CM103" s="209"/>
      <c r="CN103" s="209"/>
      <c r="CO103" s="209"/>
      <c r="CP103" s="209"/>
      <c r="CQ103" s="209"/>
      <c r="CR103" s="209"/>
      <c r="CS103" s="209"/>
      <c r="CT103" s="209"/>
      <c r="CU103" s="209"/>
    </row>
    <row r="104" spans="1:99" ht="27" customHeight="1">
      <c r="A104" s="464"/>
      <c r="B104" s="459"/>
      <c r="C104" s="424"/>
      <c r="D104" s="429"/>
      <c r="E104" s="429"/>
      <c r="F104" s="376"/>
      <c r="G104" s="376"/>
      <c r="H104" s="376"/>
      <c r="I104" s="376"/>
      <c r="J104" s="385"/>
      <c r="K104" s="382"/>
      <c r="L104" s="376"/>
      <c r="M104" s="379"/>
      <c r="N104" s="384"/>
      <c r="O104" s="373"/>
      <c r="P104" s="373"/>
      <c r="Q104" s="373"/>
      <c r="R104" s="373"/>
      <c r="S104" s="373"/>
      <c r="T104" s="373"/>
      <c r="U104" s="209"/>
      <c r="V104" s="374"/>
      <c r="W104" s="374"/>
      <c r="X104" s="375"/>
      <c r="Y104" s="374"/>
      <c r="Z104" s="240"/>
      <c r="AA104" s="371"/>
      <c r="AB104" s="371"/>
      <c r="AC104" s="371"/>
      <c r="AD104" s="371"/>
      <c r="AE104" s="371"/>
      <c r="AF104" s="371"/>
      <c r="AG104" s="371"/>
      <c r="AH104" s="371"/>
      <c r="AI104" s="371"/>
      <c r="AJ104" s="371"/>
      <c r="AK104" s="371"/>
      <c r="AL104" s="371"/>
      <c r="AM104" s="371"/>
      <c r="AN104" s="371"/>
      <c r="AO104" s="371"/>
      <c r="AP104" s="371"/>
      <c r="AQ104" s="371"/>
      <c r="AR104" s="371"/>
      <c r="AS104" s="371"/>
      <c r="AT104" s="209"/>
      <c r="AU104" s="209"/>
      <c r="AV104" s="209"/>
      <c r="AW104" s="209"/>
      <c r="AX104" s="209"/>
      <c r="AY104" s="209"/>
      <c r="AZ104" s="209"/>
      <c r="BA104" s="209"/>
      <c r="BB104" s="209"/>
      <c r="BC104" s="209"/>
      <c r="BD104" s="209"/>
      <c r="BE104" s="209"/>
      <c r="BF104" s="209"/>
      <c r="BG104" s="209"/>
      <c r="BH104" s="209"/>
      <c r="BI104" s="209"/>
      <c r="BJ104" s="209"/>
      <c r="BK104" s="209"/>
      <c r="BL104" s="209"/>
      <c r="BM104" s="209"/>
      <c r="BN104" s="209"/>
      <c r="BO104" s="209"/>
      <c r="BP104" s="209"/>
      <c r="BQ104" s="209"/>
      <c r="BR104" s="209"/>
      <c r="BS104" s="209"/>
      <c r="BT104" s="209"/>
      <c r="BU104" s="209"/>
      <c r="BV104" s="209"/>
      <c r="BW104" s="209"/>
      <c r="BX104" s="209"/>
      <c r="BY104" s="209"/>
      <c r="BZ104" s="209"/>
      <c r="CA104" s="209"/>
      <c r="CB104" s="209"/>
      <c r="CC104" s="209"/>
      <c r="CD104" s="209"/>
      <c r="CE104" s="209"/>
      <c r="CF104" s="209"/>
      <c r="CG104" s="209"/>
      <c r="CH104" s="209"/>
      <c r="CI104" s="209"/>
      <c r="CJ104" s="209"/>
      <c r="CK104" s="209"/>
      <c r="CL104" s="209"/>
      <c r="CM104" s="209"/>
      <c r="CN104" s="209"/>
      <c r="CO104" s="209"/>
      <c r="CP104" s="209"/>
      <c r="CQ104" s="209"/>
      <c r="CR104" s="209"/>
      <c r="CS104" s="209"/>
      <c r="CT104" s="209"/>
      <c r="CU104" s="209"/>
    </row>
    <row r="105" spans="1:99" ht="50.1" customHeight="1">
      <c r="A105" s="464"/>
      <c r="B105" s="459"/>
      <c r="C105" s="445" t="s">
        <v>318</v>
      </c>
      <c r="D105" s="429" t="s">
        <v>319</v>
      </c>
      <c r="E105" s="429" t="s">
        <v>320</v>
      </c>
      <c r="F105" s="376" t="s">
        <v>308</v>
      </c>
      <c r="G105" s="376" t="s">
        <v>87</v>
      </c>
      <c r="H105" s="376" t="s">
        <v>27</v>
      </c>
      <c r="I105" s="376" t="s">
        <v>27</v>
      </c>
      <c r="J105" s="385" t="s">
        <v>318</v>
      </c>
      <c r="K105" s="429" t="s">
        <v>319</v>
      </c>
      <c r="L105" s="376" t="s">
        <v>154</v>
      </c>
      <c r="M105" s="380" t="s">
        <v>308</v>
      </c>
      <c r="N105" s="384" t="s">
        <v>321</v>
      </c>
      <c r="O105" s="373"/>
      <c r="P105" s="373"/>
      <c r="Q105" s="373"/>
      <c r="R105" s="373"/>
      <c r="S105" s="373"/>
      <c r="T105" s="373"/>
      <c r="U105" s="209"/>
      <c r="V105" s="374"/>
      <c r="W105" s="374"/>
      <c r="X105" s="375"/>
      <c r="Y105" s="374"/>
      <c r="Z105" s="240"/>
      <c r="AA105" s="371"/>
      <c r="AB105" s="371"/>
      <c r="AC105" s="371"/>
      <c r="AD105" s="371"/>
      <c r="AE105" s="371"/>
      <c r="AF105" s="371"/>
      <c r="AG105" s="371"/>
      <c r="AH105" s="371"/>
      <c r="AI105" s="371"/>
      <c r="AJ105" s="371"/>
      <c r="AK105" s="371"/>
      <c r="AL105" s="371"/>
      <c r="AM105" s="371"/>
      <c r="AN105" s="371"/>
      <c r="AO105" s="371"/>
      <c r="AP105" s="371"/>
      <c r="AQ105" s="371"/>
      <c r="AR105" s="371"/>
      <c r="AS105" s="371"/>
      <c r="AT105" s="209"/>
      <c r="AU105" s="209"/>
      <c r="AV105" s="209"/>
      <c r="AW105" s="209"/>
      <c r="AX105" s="209"/>
      <c r="AY105" s="209"/>
      <c r="AZ105" s="209"/>
      <c r="BA105" s="209"/>
      <c r="BB105" s="209"/>
      <c r="BC105" s="209"/>
      <c r="BD105" s="209"/>
      <c r="BE105" s="209"/>
      <c r="BF105" s="209"/>
      <c r="BG105" s="209"/>
      <c r="BH105" s="209"/>
      <c r="BI105" s="209"/>
      <c r="BJ105" s="209"/>
      <c r="BK105" s="209"/>
      <c r="BL105" s="209"/>
      <c r="BM105" s="209"/>
      <c r="BN105" s="209"/>
      <c r="BO105" s="209"/>
      <c r="BP105" s="209"/>
      <c r="BQ105" s="209"/>
      <c r="BR105" s="209"/>
      <c r="BS105" s="209"/>
      <c r="BT105" s="209"/>
      <c r="BU105" s="209"/>
      <c r="BV105" s="209"/>
      <c r="BW105" s="209"/>
      <c r="BX105" s="209"/>
      <c r="BY105" s="209"/>
      <c r="BZ105" s="209"/>
      <c r="CA105" s="209"/>
      <c r="CB105" s="209"/>
      <c r="CC105" s="209"/>
      <c r="CD105" s="209"/>
      <c r="CE105" s="209"/>
      <c r="CF105" s="209"/>
      <c r="CG105" s="209"/>
      <c r="CH105" s="209"/>
      <c r="CI105" s="209"/>
      <c r="CJ105" s="209"/>
      <c r="CK105" s="209"/>
      <c r="CL105" s="209"/>
      <c r="CM105" s="209"/>
      <c r="CN105" s="209"/>
      <c r="CO105" s="209"/>
      <c r="CP105" s="209"/>
      <c r="CQ105" s="209"/>
      <c r="CR105" s="209"/>
      <c r="CS105" s="209"/>
      <c r="CT105" s="209"/>
      <c r="CU105" s="209"/>
    </row>
    <row r="106" spans="1:99" ht="66.75" customHeight="1">
      <c r="A106" s="464"/>
      <c r="B106" s="460"/>
      <c r="C106" s="446"/>
      <c r="D106" s="434"/>
      <c r="E106" s="434"/>
      <c r="F106" s="377"/>
      <c r="G106" s="377"/>
      <c r="H106" s="377"/>
      <c r="I106" s="377"/>
      <c r="J106" s="386"/>
      <c r="K106" s="434"/>
      <c r="L106" s="377"/>
      <c r="M106" s="381"/>
      <c r="N106" s="384"/>
      <c r="O106" s="373"/>
      <c r="P106" s="373"/>
      <c r="Q106" s="373"/>
      <c r="R106" s="373"/>
      <c r="S106" s="373"/>
      <c r="T106" s="373"/>
      <c r="U106" s="209"/>
      <c r="V106" s="374"/>
      <c r="W106" s="374"/>
      <c r="X106" s="375"/>
      <c r="Y106" s="374"/>
      <c r="Z106" s="240"/>
      <c r="AA106" s="371"/>
      <c r="AB106" s="371"/>
      <c r="AC106" s="371"/>
      <c r="AD106" s="371"/>
      <c r="AE106" s="371"/>
      <c r="AF106" s="371"/>
      <c r="AG106" s="371"/>
      <c r="AH106" s="371"/>
      <c r="AI106" s="371"/>
      <c r="AJ106" s="371"/>
      <c r="AK106" s="371"/>
      <c r="AL106" s="371"/>
      <c r="AM106" s="371"/>
      <c r="AN106" s="371"/>
      <c r="AO106" s="371"/>
      <c r="AP106" s="371"/>
      <c r="AQ106" s="371"/>
      <c r="AR106" s="371"/>
      <c r="AS106" s="371"/>
      <c r="AT106" s="209"/>
      <c r="AU106" s="209"/>
      <c r="AV106" s="209"/>
      <c r="AW106" s="209"/>
      <c r="AX106" s="209"/>
      <c r="AY106" s="209"/>
      <c r="AZ106" s="209"/>
      <c r="BA106" s="209"/>
      <c r="BB106" s="209"/>
      <c r="BC106" s="209"/>
      <c r="BD106" s="209"/>
      <c r="BE106" s="209"/>
      <c r="BF106" s="209"/>
      <c r="BG106" s="209"/>
      <c r="BH106" s="209"/>
      <c r="BI106" s="209"/>
      <c r="BJ106" s="209"/>
      <c r="BK106" s="209"/>
      <c r="BL106" s="209"/>
      <c r="BM106" s="209"/>
      <c r="BN106" s="209"/>
      <c r="BO106" s="209"/>
      <c r="BP106" s="209"/>
      <c r="BQ106" s="209"/>
      <c r="BR106" s="209"/>
      <c r="BS106" s="209"/>
      <c r="BT106" s="209"/>
      <c r="BU106" s="209"/>
      <c r="BV106" s="209"/>
      <c r="BW106" s="209"/>
      <c r="BX106" s="209"/>
      <c r="BY106" s="209"/>
      <c r="BZ106" s="209"/>
      <c r="CA106" s="209"/>
      <c r="CB106" s="209"/>
      <c r="CC106" s="209"/>
      <c r="CD106" s="209"/>
      <c r="CE106" s="209"/>
      <c r="CF106" s="209"/>
      <c r="CG106" s="209"/>
      <c r="CH106" s="209"/>
      <c r="CI106" s="209"/>
      <c r="CJ106" s="209"/>
      <c r="CK106" s="209"/>
      <c r="CL106" s="209"/>
      <c r="CM106" s="209"/>
      <c r="CN106" s="209"/>
      <c r="CO106" s="209"/>
      <c r="CP106" s="209"/>
      <c r="CQ106" s="209"/>
      <c r="CR106" s="209"/>
      <c r="CS106" s="209"/>
      <c r="CT106" s="209"/>
      <c r="CU106" s="209"/>
    </row>
    <row r="107" spans="1:99" ht="95.25" customHeight="1">
      <c r="A107" s="464"/>
      <c r="B107" s="458" t="s">
        <v>322</v>
      </c>
      <c r="C107" s="258" t="s">
        <v>323</v>
      </c>
      <c r="D107" s="256" t="s">
        <v>324</v>
      </c>
      <c r="E107" s="256" t="s">
        <v>325</v>
      </c>
      <c r="F107" s="260" t="s">
        <v>326</v>
      </c>
      <c r="G107" s="260" t="s">
        <v>98</v>
      </c>
      <c r="H107" s="260" t="s">
        <v>27</v>
      </c>
      <c r="I107" s="260" t="s">
        <v>27</v>
      </c>
      <c r="J107" s="260" t="s">
        <v>323</v>
      </c>
      <c r="K107" s="260" t="s">
        <v>327</v>
      </c>
      <c r="L107" s="260" t="s">
        <v>154</v>
      </c>
      <c r="M107" s="218" t="s">
        <v>326</v>
      </c>
      <c r="N107" s="247" t="s">
        <v>328</v>
      </c>
      <c r="O107" s="239"/>
      <c r="P107" s="239"/>
      <c r="Q107" s="239"/>
      <c r="R107" s="239"/>
      <c r="S107" s="239"/>
      <c r="T107" s="239"/>
      <c r="U107" s="209"/>
      <c r="V107" s="240"/>
      <c r="W107" s="240"/>
      <c r="X107" s="241"/>
      <c r="Y107" s="240"/>
      <c r="Z107" s="240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209"/>
      <c r="AU107" s="209"/>
      <c r="AV107" s="209"/>
      <c r="AW107" s="209"/>
      <c r="AX107" s="209"/>
      <c r="AY107" s="209"/>
      <c r="AZ107" s="209"/>
      <c r="BA107" s="209"/>
      <c r="BB107" s="209"/>
      <c r="BC107" s="209"/>
      <c r="BD107" s="209"/>
      <c r="BE107" s="209"/>
      <c r="BF107" s="209"/>
      <c r="BG107" s="209"/>
      <c r="BH107" s="209"/>
      <c r="BI107" s="209"/>
      <c r="BJ107" s="209"/>
      <c r="BK107" s="209"/>
      <c r="BL107" s="209"/>
      <c r="BM107" s="209"/>
      <c r="BN107" s="209"/>
      <c r="BO107" s="209"/>
      <c r="BP107" s="209"/>
      <c r="BQ107" s="209"/>
      <c r="BR107" s="209"/>
      <c r="BS107" s="209"/>
      <c r="BT107" s="209"/>
      <c r="BU107" s="209"/>
      <c r="BV107" s="209"/>
      <c r="BW107" s="209"/>
      <c r="BX107" s="209"/>
      <c r="BY107" s="209"/>
      <c r="BZ107" s="209"/>
      <c r="CA107" s="209"/>
      <c r="CB107" s="209"/>
      <c r="CC107" s="209"/>
      <c r="CD107" s="209"/>
      <c r="CE107" s="209"/>
      <c r="CF107" s="209"/>
      <c r="CG107" s="209"/>
      <c r="CH107" s="209"/>
      <c r="CI107" s="209"/>
      <c r="CJ107" s="209"/>
      <c r="CK107" s="209"/>
      <c r="CL107" s="209"/>
      <c r="CM107" s="209"/>
      <c r="CN107" s="209"/>
      <c r="CO107" s="209"/>
      <c r="CP107" s="209"/>
      <c r="CQ107" s="209"/>
      <c r="CR107" s="209"/>
      <c r="CS107" s="209"/>
      <c r="CT107" s="209"/>
      <c r="CU107" s="209"/>
    </row>
    <row r="108" spans="1:99" ht="50.1" customHeight="1">
      <c r="A108" s="464"/>
      <c r="B108" s="459"/>
      <c r="C108" s="447" t="s">
        <v>329</v>
      </c>
      <c r="D108" s="429" t="s">
        <v>330</v>
      </c>
      <c r="E108" s="429" t="s">
        <v>331</v>
      </c>
      <c r="F108" s="429" t="s">
        <v>6</v>
      </c>
      <c r="G108" s="382" t="s">
        <v>98</v>
      </c>
      <c r="H108" s="382" t="s">
        <v>27</v>
      </c>
      <c r="I108" s="382" t="s">
        <v>27</v>
      </c>
      <c r="J108" s="413" t="s">
        <v>332</v>
      </c>
      <c r="K108" s="429" t="s">
        <v>333</v>
      </c>
      <c r="L108" s="382" t="s">
        <v>154</v>
      </c>
      <c r="M108" s="436" t="s">
        <v>6</v>
      </c>
      <c r="N108" s="384" t="s">
        <v>334</v>
      </c>
      <c r="O108" s="372"/>
      <c r="P108" s="372"/>
      <c r="Q108" s="372"/>
      <c r="R108" s="372"/>
      <c r="S108" s="372"/>
      <c r="T108" s="372"/>
      <c r="U108" s="209"/>
      <c r="V108" s="374"/>
      <c r="W108" s="374"/>
      <c r="X108" s="375"/>
      <c r="Y108" s="374"/>
      <c r="Z108" s="240"/>
      <c r="AA108" s="480"/>
      <c r="AB108" s="480"/>
      <c r="AC108" s="480"/>
      <c r="AD108" s="480"/>
      <c r="AE108" s="480"/>
      <c r="AF108" s="480"/>
      <c r="AG108" s="480"/>
      <c r="AH108" s="480"/>
      <c r="AI108" s="480"/>
      <c r="AJ108" s="480"/>
      <c r="AK108" s="480"/>
      <c r="AL108" s="480"/>
      <c r="AM108" s="480"/>
      <c r="AN108" s="480"/>
      <c r="AO108" s="480"/>
      <c r="AP108" s="480"/>
      <c r="AQ108" s="480"/>
      <c r="AR108" s="480"/>
      <c r="AS108" s="480"/>
      <c r="AT108" s="209"/>
      <c r="AU108" s="209"/>
      <c r="AV108" s="209"/>
      <c r="AW108" s="209"/>
      <c r="AX108" s="209"/>
      <c r="AY108" s="209"/>
      <c r="AZ108" s="209"/>
      <c r="BA108" s="209"/>
      <c r="BB108" s="209"/>
      <c r="BC108" s="209"/>
      <c r="BD108" s="209"/>
      <c r="BE108" s="209"/>
      <c r="BF108" s="209"/>
      <c r="BG108" s="209"/>
      <c r="BH108" s="209"/>
      <c r="BI108" s="209"/>
      <c r="BJ108" s="209"/>
      <c r="BK108" s="209"/>
      <c r="BL108" s="209"/>
      <c r="BM108" s="209"/>
      <c r="BN108" s="209"/>
      <c r="BO108" s="209"/>
      <c r="BP108" s="209"/>
      <c r="BQ108" s="209"/>
      <c r="BR108" s="209"/>
      <c r="BS108" s="209"/>
      <c r="BT108" s="209"/>
      <c r="BU108" s="209"/>
      <c r="BV108" s="209"/>
      <c r="BW108" s="209"/>
      <c r="BX108" s="209"/>
      <c r="BY108" s="209"/>
      <c r="BZ108" s="209"/>
      <c r="CA108" s="209"/>
      <c r="CB108" s="209"/>
      <c r="CC108" s="209"/>
      <c r="CD108" s="209"/>
      <c r="CE108" s="209"/>
      <c r="CF108" s="209"/>
      <c r="CG108" s="209"/>
      <c r="CH108" s="209"/>
      <c r="CI108" s="209"/>
      <c r="CJ108" s="209"/>
      <c r="CK108" s="209"/>
      <c r="CL108" s="209"/>
      <c r="CM108" s="209"/>
      <c r="CN108" s="209"/>
      <c r="CO108" s="209"/>
      <c r="CP108" s="209"/>
      <c r="CQ108" s="209"/>
      <c r="CR108" s="209"/>
      <c r="CS108" s="209"/>
      <c r="CT108" s="209"/>
      <c r="CU108" s="209"/>
    </row>
    <row r="109" spans="1:99" ht="41.25" customHeight="1">
      <c r="A109" s="464"/>
      <c r="B109" s="459"/>
      <c r="C109" s="448"/>
      <c r="D109" s="429"/>
      <c r="E109" s="429"/>
      <c r="F109" s="429"/>
      <c r="G109" s="382"/>
      <c r="H109" s="382"/>
      <c r="I109" s="382"/>
      <c r="J109" s="414"/>
      <c r="K109" s="429"/>
      <c r="L109" s="382"/>
      <c r="M109" s="436"/>
      <c r="N109" s="384"/>
      <c r="O109" s="372"/>
      <c r="P109" s="372"/>
      <c r="Q109" s="372"/>
      <c r="R109" s="372"/>
      <c r="S109" s="372"/>
      <c r="T109" s="372"/>
      <c r="U109" s="209"/>
      <c r="V109" s="374"/>
      <c r="W109" s="374"/>
      <c r="X109" s="375"/>
      <c r="Y109" s="374"/>
      <c r="Z109" s="240"/>
      <c r="AA109" s="480"/>
      <c r="AB109" s="480"/>
      <c r="AC109" s="480"/>
      <c r="AD109" s="480"/>
      <c r="AE109" s="480"/>
      <c r="AF109" s="480"/>
      <c r="AG109" s="480"/>
      <c r="AH109" s="480"/>
      <c r="AI109" s="480"/>
      <c r="AJ109" s="480"/>
      <c r="AK109" s="480"/>
      <c r="AL109" s="480"/>
      <c r="AM109" s="480"/>
      <c r="AN109" s="480"/>
      <c r="AO109" s="480"/>
      <c r="AP109" s="480"/>
      <c r="AQ109" s="480"/>
      <c r="AR109" s="480"/>
      <c r="AS109" s="480"/>
      <c r="AT109" s="209"/>
      <c r="AU109" s="209"/>
      <c r="AV109" s="209"/>
      <c r="AW109" s="209"/>
      <c r="AX109" s="209"/>
      <c r="AY109" s="209"/>
      <c r="AZ109" s="209"/>
      <c r="BA109" s="209"/>
      <c r="BB109" s="209"/>
      <c r="BC109" s="209"/>
      <c r="BD109" s="209"/>
      <c r="BE109" s="209"/>
      <c r="BF109" s="209"/>
      <c r="BG109" s="209"/>
      <c r="BH109" s="209"/>
      <c r="BI109" s="209"/>
      <c r="BJ109" s="209"/>
      <c r="BK109" s="209"/>
      <c r="BL109" s="209"/>
      <c r="BM109" s="209"/>
      <c r="BN109" s="209"/>
      <c r="BO109" s="209"/>
      <c r="BP109" s="209"/>
      <c r="BQ109" s="209"/>
      <c r="BR109" s="209"/>
      <c r="BS109" s="209"/>
      <c r="BT109" s="209"/>
      <c r="BU109" s="209"/>
      <c r="BV109" s="209"/>
      <c r="BW109" s="209"/>
      <c r="BX109" s="209"/>
      <c r="BY109" s="209"/>
      <c r="BZ109" s="209"/>
      <c r="CA109" s="209"/>
      <c r="CB109" s="209"/>
      <c r="CC109" s="209"/>
      <c r="CD109" s="209"/>
      <c r="CE109" s="209"/>
      <c r="CF109" s="209"/>
      <c r="CG109" s="209"/>
      <c r="CH109" s="209"/>
      <c r="CI109" s="209"/>
      <c r="CJ109" s="209"/>
      <c r="CK109" s="209"/>
      <c r="CL109" s="209"/>
      <c r="CM109" s="209"/>
      <c r="CN109" s="209"/>
      <c r="CO109" s="209"/>
      <c r="CP109" s="209"/>
      <c r="CQ109" s="209"/>
      <c r="CR109" s="209"/>
      <c r="CS109" s="209"/>
      <c r="CT109" s="209"/>
      <c r="CU109" s="209"/>
    </row>
    <row r="110" spans="1:99" ht="69" customHeight="1">
      <c r="A110" s="464"/>
      <c r="B110" s="459"/>
      <c r="C110" s="259" t="s">
        <v>335</v>
      </c>
      <c r="D110" s="261" t="s">
        <v>336</v>
      </c>
      <c r="E110" s="261" t="s">
        <v>337</v>
      </c>
      <c r="F110" s="261" t="s">
        <v>6</v>
      </c>
      <c r="G110" s="245" t="s">
        <v>98</v>
      </c>
      <c r="H110" s="245" t="s">
        <v>27</v>
      </c>
      <c r="I110" s="245" t="s">
        <v>27</v>
      </c>
      <c r="J110" s="261" t="s">
        <v>335</v>
      </c>
      <c r="K110" s="261" t="s">
        <v>338</v>
      </c>
      <c r="L110" s="245" t="s">
        <v>154</v>
      </c>
      <c r="M110" s="264" t="s">
        <v>6</v>
      </c>
      <c r="N110" s="220" t="s">
        <v>339</v>
      </c>
      <c r="O110" s="238"/>
      <c r="P110" s="238"/>
      <c r="Q110" s="238"/>
      <c r="R110" s="238"/>
      <c r="S110" s="238"/>
      <c r="T110" s="238"/>
      <c r="U110" s="209"/>
      <c r="V110" s="240"/>
      <c r="W110" s="240"/>
      <c r="X110" s="241"/>
      <c r="Y110" s="240"/>
      <c r="Z110" s="240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09"/>
      <c r="AU110" s="209"/>
      <c r="AV110" s="209"/>
      <c r="AW110" s="209"/>
      <c r="AX110" s="209"/>
      <c r="AY110" s="209"/>
      <c r="AZ110" s="209"/>
      <c r="BA110" s="209"/>
      <c r="BB110" s="209"/>
      <c r="BC110" s="209"/>
      <c r="BD110" s="209"/>
      <c r="BE110" s="209"/>
      <c r="BF110" s="209"/>
      <c r="BG110" s="209"/>
      <c r="BH110" s="209"/>
      <c r="BI110" s="209"/>
      <c r="BJ110" s="209"/>
      <c r="BK110" s="209"/>
      <c r="BL110" s="209"/>
      <c r="BM110" s="209"/>
      <c r="BN110" s="209"/>
      <c r="BO110" s="209"/>
      <c r="BP110" s="209"/>
      <c r="BQ110" s="209"/>
      <c r="BR110" s="209"/>
      <c r="BS110" s="209"/>
      <c r="BT110" s="209"/>
      <c r="BU110" s="209"/>
      <c r="BV110" s="209"/>
      <c r="BW110" s="209"/>
      <c r="BX110" s="209"/>
      <c r="BY110" s="209"/>
      <c r="BZ110" s="209"/>
      <c r="CA110" s="209"/>
      <c r="CB110" s="209"/>
      <c r="CC110" s="209"/>
      <c r="CD110" s="209"/>
      <c r="CE110" s="209"/>
      <c r="CF110" s="209"/>
      <c r="CG110" s="209"/>
      <c r="CH110" s="209"/>
      <c r="CI110" s="209"/>
      <c r="CJ110" s="209"/>
      <c r="CK110" s="209"/>
      <c r="CL110" s="209"/>
      <c r="CM110" s="209"/>
      <c r="CN110" s="209"/>
      <c r="CO110" s="209"/>
      <c r="CP110" s="209"/>
      <c r="CQ110" s="209"/>
      <c r="CR110" s="209"/>
      <c r="CS110" s="209"/>
      <c r="CT110" s="209"/>
      <c r="CU110" s="209"/>
    </row>
    <row r="111" spans="1:99" ht="50.1" customHeight="1">
      <c r="A111" s="464"/>
      <c r="B111" s="459"/>
      <c r="C111" s="447" t="s">
        <v>340</v>
      </c>
      <c r="D111" s="429" t="s">
        <v>341</v>
      </c>
      <c r="E111" s="429" t="s">
        <v>342</v>
      </c>
      <c r="F111" s="413" t="s">
        <v>232</v>
      </c>
      <c r="G111" s="382" t="s">
        <v>98</v>
      </c>
      <c r="H111" s="382" t="s">
        <v>27</v>
      </c>
      <c r="I111" s="382" t="s">
        <v>27</v>
      </c>
      <c r="J111" s="413" t="s">
        <v>340</v>
      </c>
      <c r="K111" s="429" t="s">
        <v>343</v>
      </c>
      <c r="L111" s="382" t="s">
        <v>154</v>
      </c>
      <c r="M111" s="449" t="s">
        <v>232</v>
      </c>
      <c r="N111" s="384" t="s">
        <v>344</v>
      </c>
      <c r="O111" s="372"/>
      <c r="P111" s="372"/>
      <c r="Q111" s="372"/>
      <c r="R111" s="372"/>
      <c r="S111" s="372"/>
      <c r="T111" s="372"/>
      <c r="U111" s="209"/>
      <c r="V111" s="374"/>
      <c r="W111" s="374"/>
      <c r="X111" s="375"/>
      <c r="Y111" s="374"/>
      <c r="Z111" s="240"/>
      <c r="AA111" s="480"/>
      <c r="AB111" s="480"/>
      <c r="AC111" s="480"/>
      <c r="AD111" s="480"/>
      <c r="AE111" s="480"/>
      <c r="AF111" s="480"/>
      <c r="AG111" s="480"/>
      <c r="AH111" s="480"/>
      <c r="AI111" s="480"/>
      <c r="AJ111" s="480"/>
      <c r="AK111" s="480"/>
      <c r="AL111" s="480"/>
      <c r="AM111" s="480"/>
      <c r="AN111" s="480"/>
      <c r="AO111" s="480"/>
      <c r="AP111" s="480"/>
      <c r="AQ111" s="480"/>
      <c r="AR111" s="480"/>
      <c r="AS111" s="480"/>
      <c r="AT111" s="209"/>
      <c r="AU111" s="209"/>
      <c r="AV111" s="209"/>
      <c r="AW111" s="209"/>
      <c r="AX111" s="209"/>
      <c r="AY111" s="209"/>
      <c r="AZ111" s="209"/>
      <c r="BA111" s="209"/>
      <c r="BB111" s="209"/>
      <c r="BC111" s="209"/>
      <c r="BD111" s="209"/>
      <c r="BE111" s="209"/>
      <c r="BF111" s="209"/>
      <c r="BG111" s="209"/>
      <c r="BH111" s="209"/>
      <c r="BI111" s="209"/>
      <c r="BJ111" s="209"/>
      <c r="BK111" s="209"/>
      <c r="BL111" s="209"/>
      <c r="BM111" s="209"/>
      <c r="BN111" s="209"/>
      <c r="BO111" s="209"/>
      <c r="BP111" s="209"/>
      <c r="BQ111" s="209"/>
      <c r="BR111" s="209"/>
      <c r="BS111" s="209"/>
      <c r="BT111" s="209"/>
      <c r="BU111" s="209"/>
      <c r="BV111" s="209"/>
      <c r="BW111" s="209"/>
      <c r="BX111" s="209"/>
      <c r="BY111" s="209"/>
      <c r="BZ111" s="209"/>
      <c r="CA111" s="209"/>
      <c r="CB111" s="209"/>
      <c r="CC111" s="209"/>
      <c r="CD111" s="209"/>
      <c r="CE111" s="209"/>
      <c r="CF111" s="209"/>
      <c r="CG111" s="209"/>
      <c r="CH111" s="209"/>
      <c r="CI111" s="209"/>
      <c r="CJ111" s="209"/>
      <c r="CK111" s="209"/>
      <c r="CL111" s="209"/>
      <c r="CM111" s="209"/>
      <c r="CN111" s="209"/>
      <c r="CO111" s="209"/>
      <c r="CP111" s="209"/>
      <c r="CQ111" s="209"/>
      <c r="CR111" s="209"/>
      <c r="CS111" s="209"/>
      <c r="CT111" s="209"/>
      <c r="CU111" s="209"/>
    </row>
    <row r="112" spans="1:99" ht="27.75" customHeight="1">
      <c r="A112" s="464"/>
      <c r="B112" s="459"/>
      <c r="C112" s="448"/>
      <c r="D112" s="429"/>
      <c r="E112" s="429"/>
      <c r="F112" s="414"/>
      <c r="G112" s="382"/>
      <c r="H112" s="382"/>
      <c r="I112" s="382"/>
      <c r="J112" s="414"/>
      <c r="K112" s="429"/>
      <c r="L112" s="382"/>
      <c r="M112" s="435"/>
      <c r="N112" s="384"/>
      <c r="O112" s="372"/>
      <c r="P112" s="372"/>
      <c r="Q112" s="372"/>
      <c r="R112" s="372"/>
      <c r="S112" s="372"/>
      <c r="T112" s="372"/>
      <c r="U112" s="209"/>
      <c r="V112" s="374"/>
      <c r="W112" s="374"/>
      <c r="X112" s="375"/>
      <c r="Y112" s="374"/>
      <c r="Z112" s="240"/>
      <c r="AA112" s="480"/>
      <c r="AB112" s="480"/>
      <c r="AC112" s="480"/>
      <c r="AD112" s="480"/>
      <c r="AE112" s="480"/>
      <c r="AF112" s="480"/>
      <c r="AG112" s="480"/>
      <c r="AH112" s="480"/>
      <c r="AI112" s="480"/>
      <c r="AJ112" s="480"/>
      <c r="AK112" s="480"/>
      <c r="AL112" s="480"/>
      <c r="AM112" s="480"/>
      <c r="AN112" s="480"/>
      <c r="AO112" s="480"/>
      <c r="AP112" s="480"/>
      <c r="AQ112" s="480"/>
      <c r="AR112" s="480"/>
      <c r="AS112" s="480"/>
      <c r="AT112" s="209"/>
      <c r="AU112" s="209"/>
      <c r="AV112" s="209"/>
      <c r="AW112" s="209"/>
      <c r="AX112" s="209"/>
      <c r="AY112" s="209"/>
      <c r="AZ112" s="209"/>
      <c r="BA112" s="209"/>
      <c r="BB112" s="209"/>
      <c r="BC112" s="209"/>
      <c r="BD112" s="209"/>
      <c r="BE112" s="209"/>
      <c r="BF112" s="209"/>
      <c r="BG112" s="209"/>
      <c r="BH112" s="209"/>
      <c r="BI112" s="209"/>
      <c r="BJ112" s="209"/>
      <c r="BK112" s="209"/>
      <c r="BL112" s="209"/>
      <c r="BM112" s="209"/>
      <c r="BN112" s="209"/>
      <c r="BO112" s="209"/>
      <c r="BP112" s="209"/>
      <c r="BQ112" s="209"/>
      <c r="BR112" s="209"/>
      <c r="BS112" s="209"/>
      <c r="BT112" s="209"/>
      <c r="BU112" s="209"/>
      <c r="BV112" s="209"/>
      <c r="BW112" s="209"/>
      <c r="BX112" s="209"/>
      <c r="BY112" s="209"/>
      <c r="BZ112" s="209"/>
      <c r="CA112" s="209"/>
      <c r="CB112" s="209"/>
      <c r="CC112" s="209"/>
      <c r="CD112" s="209"/>
      <c r="CE112" s="209"/>
      <c r="CF112" s="209"/>
      <c r="CG112" s="209"/>
      <c r="CH112" s="209"/>
      <c r="CI112" s="209"/>
      <c r="CJ112" s="209"/>
      <c r="CK112" s="209"/>
      <c r="CL112" s="209"/>
      <c r="CM112" s="209"/>
      <c r="CN112" s="209"/>
      <c r="CO112" s="209"/>
      <c r="CP112" s="209"/>
      <c r="CQ112" s="209"/>
      <c r="CR112" s="209"/>
      <c r="CS112" s="209"/>
      <c r="CT112" s="209"/>
      <c r="CU112" s="209"/>
    </row>
    <row r="113" spans="1:99" ht="50.1" customHeight="1">
      <c r="A113" s="464"/>
      <c r="B113" s="459"/>
      <c r="C113" s="424" t="s">
        <v>345</v>
      </c>
      <c r="D113" s="429" t="s">
        <v>346</v>
      </c>
      <c r="E113" s="429" t="s">
        <v>347</v>
      </c>
      <c r="F113" s="413" t="s">
        <v>232</v>
      </c>
      <c r="G113" s="382" t="s">
        <v>98</v>
      </c>
      <c r="H113" s="382" t="s">
        <v>27</v>
      </c>
      <c r="I113" s="382" t="s">
        <v>27</v>
      </c>
      <c r="J113" s="429" t="s">
        <v>345</v>
      </c>
      <c r="K113" s="429" t="s">
        <v>348</v>
      </c>
      <c r="L113" s="382" t="s">
        <v>154</v>
      </c>
      <c r="M113" s="449" t="s">
        <v>232</v>
      </c>
      <c r="N113" s="439" t="s">
        <v>349</v>
      </c>
      <c r="O113" s="372"/>
      <c r="P113" s="372"/>
      <c r="Q113" s="372"/>
      <c r="R113" s="372"/>
      <c r="S113" s="372"/>
      <c r="T113" s="372"/>
      <c r="U113" s="209"/>
      <c r="V113" s="374"/>
      <c r="W113" s="374"/>
      <c r="X113" s="375"/>
      <c r="Y113" s="374"/>
      <c r="Z113" s="240"/>
      <c r="AA113" s="480"/>
      <c r="AB113" s="480"/>
      <c r="AC113" s="480"/>
      <c r="AD113" s="480"/>
      <c r="AE113" s="480"/>
      <c r="AF113" s="480"/>
      <c r="AG113" s="480"/>
      <c r="AH113" s="480"/>
      <c r="AI113" s="480"/>
      <c r="AJ113" s="480"/>
      <c r="AK113" s="480"/>
      <c r="AL113" s="480"/>
      <c r="AM113" s="480"/>
      <c r="AN113" s="480"/>
      <c r="AO113" s="480"/>
      <c r="AP113" s="480"/>
      <c r="AQ113" s="480"/>
      <c r="AR113" s="480"/>
      <c r="AS113" s="480"/>
      <c r="AT113" s="209"/>
      <c r="AU113" s="209"/>
      <c r="AV113" s="209"/>
      <c r="AW113" s="209"/>
      <c r="AX113" s="209"/>
      <c r="AY113" s="209"/>
      <c r="AZ113" s="209"/>
      <c r="BA113" s="209"/>
      <c r="BB113" s="209"/>
      <c r="BC113" s="209"/>
      <c r="BD113" s="209"/>
      <c r="BE113" s="209"/>
      <c r="BF113" s="209"/>
      <c r="BG113" s="209"/>
      <c r="BH113" s="209"/>
      <c r="BI113" s="209"/>
      <c r="BJ113" s="209"/>
      <c r="BK113" s="209"/>
      <c r="BL113" s="209"/>
      <c r="BM113" s="209"/>
      <c r="BN113" s="209"/>
      <c r="BO113" s="209"/>
      <c r="BP113" s="209"/>
      <c r="BQ113" s="209"/>
      <c r="BR113" s="209"/>
      <c r="BS113" s="209"/>
      <c r="BT113" s="209"/>
      <c r="BU113" s="209"/>
      <c r="BV113" s="209"/>
      <c r="BW113" s="209"/>
      <c r="BX113" s="209"/>
      <c r="BY113" s="209"/>
      <c r="BZ113" s="209"/>
      <c r="CA113" s="209"/>
      <c r="CB113" s="209"/>
      <c r="CC113" s="209"/>
      <c r="CD113" s="209"/>
      <c r="CE113" s="209"/>
      <c r="CF113" s="209"/>
      <c r="CG113" s="209"/>
      <c r="CH113" s="209"/>
      <c r="CI113" s="209"/>
      <c r="CJ113" s="209"/>
      <c r="CK113" s="209"/>
      <c r="CL113" s="209"/>
      <c r="CM113" s="209"/>
      <c r="CN113" s="209"/>
      <c r="CO113" s="209"/>
      <c r="CP113" s="209"/>
      <c r="CQ113" s="209"/>
      <c r="CR113" s="209"/>
      <c r="CS113" s="209"/>
      <c r="CT113" s="209"/>
      <c r="CU113" s="209"/>
    </row>
    <row r="114" spans="1:99" ht="47.25" customHeight="1">
      <c r="A114" s="464"/>
      <c r="B114" s="459"/>
      <c r="C114" s="424"/>
      <c r="D114" s="429"/>
      <c r="E114" s="429"/>
      <c r="F114" s="414"/>
      <c r="G114" s="382"/>
      <c r="H114" s="382"/>
      <c r="I114" s="382"/>
      <c r="J114" s="429"/>
      <c r="K114" s="429"/>
      <c r="L114" s="382"/>
      <c r="M114" s="435"/>
      <c r="N114" s="439"/>
      <c r="O114" s="372"/>
      <c r="P114" s="372"/>
      <c r="Q114" s="372"/>
      <c r="R114" s="372"/>
      <c r="S114" s="372"/>
      <c r="T114" s="372"/>
      <c r="U114" s="209"/>
      <c r="V114" s="374"/>
      <c r="W114" s="374"/>
      <c r="X114" s="375"/>
      <c r="Y114" s="374"/>
      <c r="Z114" s="240"/>
      <c r="AA114" s="480"/>
      <c r="AB114" s="480"/>
      <c r="AC114" s="480"/>
      <c r="AD114" s="480"/>
      <c r="AE114" s="480"/>
      <c r="AF114" s="480"/>
      <c r="AG114" s="480"/>
      <c r="AH114" s="480"/>
      <c r="AI114" s="480"/>
      <c r="AJ114" s="480"/>
      <c r="AK114" s="480"/>
      <c r="AL114" s="480"/>
      <c r="AM114" s="480"/>
      <c r="AN114" s="480"/>
      <c r="AO114" s="480"/>
      <c r="AP114" s="480"/>
      <c r="AQ114" s="480"/>
      <c r="AR114" s="480"/>
      <c r="AS114" s="480"/>
      <c r="AT114" s="209"/>
      <c r="AU114" s="209"/>
      <c r="AV114" s="209"/>
      <c r="AW114" s="209"/>
      <c r="AX114" s="209"/>
      <c r="AY114" s="209"/>
      <c r="AZ114" s="209"/>
      <c r="BA114" s="209"/>
      <c r="BB114" s="209"/>
      <c r="BC114" s="209"/>
      <c r="BD114" s="209"/>
      <c r="BE114" s="209"/>
      <c r="BF114" s="209"/>
      <c r="BG114" s="209"/>
      <c r="BH114" s="209"/>
      <c r="BI114" s="209"/>
      <c r="BJ114" s="209"/>
      <c r="BK114" s="209"/>
      <c r="BL114" s="209"/>
      <c r="BM114" s="209"/>
      <c r="BN114" s="209"/>
      <c r="BO114" s="209"/>
      <c r="BP114" s="209"/>
      <c r="BQ114" s="209"/>
      <c r="BR114" s="209"/>
      <c r="BS114" s="209"/>
      <c r="BT114" s="209"/>
      <c r="BU114" s="209"/>
      <c r="BV114" s="209"/>
      <c r="BW114" s="209"/>
      <c r="BX114" s="209"/>
      <c r="BY114" s="209"/>
      <c r="BZ114" s="209"/>
      <c r="CA114" s="209"/>
      <c r="CB114" s="209"/>
      <c r="CC114" s="209"/>
      <c r="CD114" s="209"/>
      <c r="CE114" s="209"/>
      <c r="CF114" s="209"/>
      <c r="CG114" s="209"/>
      <c r="CH114" s="209"/>
      <c r="CI114" s="209"/>
      <c r="CJ114" s="209"/>
      <c r="CK114" s="209"/>
      <c r="CL114" s="209"/>
      <c r="CM114" s="209"/>
      <c r="CN114" s="209"/>
      <c r="CO114" s="209"/>
      <c r="CP114" s="209"/>
      <c r="CQ114" s="209"/>
      <c r="CR114" s="209"/>
      <c r="CS114" s="209"/>
      <c r="CT114" s="209"/>
      <c r="CU114" s="209"/>
    </row>
    <row r="115" spans="1:99" ht="50.1" customHeight="1">
      <c r="A115" s="464"/>
      <c r="B115" s="459"/>
      <c r="C115" s="424" t="s">
        <v>350</v>
      </c>
      <c r="D115" s="429" t="s">
        <v>351</v>
      </c>
      <c r="E115" s="429" t="s">
        <v>352</v>
      </c>
      <c r="F115" s="450" t="s">
        <v>353</v>
      </c>
      <c r="G115" s="382" t="s">
        <v>98</v>
      </c>
      <c r="H115" s="382" t="s">
        <v>27</v>
      </c>
      <c r="I115" s="382" t="s">
        <v>27</v>
      </c>
      <c r="J115" s="382" t="s">
        <v>350</v>
      </c>
      <c r="K115" s="429" t="s">
        <v>351</v>
      </c>
      <c r="L115" s="382" t="s">
        <v>154</v>
      </c>
      <c r="M115" s="454" t="s">
        <v>98</v>
      </c>
      <c r="N115" s="384" t="s">
        <v>354</v>
      </c>
      <c r="O115" s="373"/>
      <c r="P115" s="373"/>
      <c r="Q115" s="373"/>
      <c r="R115" s="373"/>
      <c r="S115" s="373"/>
      <c r="T115" s="373"/>
      <c r="U115" s="209"/>
      <c r="V115" s="374"/>
      <c r="W115" s="374"/>
      <c r="X115" s="375"/>
      <c r="Y115" s="374"/>
      <c r="Z115" s="240"/>
      <c r="AA115" s="480"/>
      <c r="AB115" s="480"/>
      <c r="AC115" s="480"/>
      <c r="AD115" s="480"/>
      <c r="AE115" s="480"/>
      <c r="AF115" s="480"/>
      <c r="AG115" s="480"/>
      <c r="AH115" s="480"/>
      <c r="AI115" s="480"/>
      <c r="AJ115" s="480"/>
      <c r="AK115" s="480"/>
      <c r="AL115" s="480"/>
      <c r="AM115" s="480"/>
      <c r="AN115" s="480"/>
      <c r="AO115" s="480"/>
      <c r="AP115" s="480"/>
      <c r="AQ115" s="480"/>
      <c r="AR115" s="480"/>
      <c r="AS115" s="480"/>
      <c r="AT115" s="209"/>
      <c r="AU115" s="209"/>
      <c r="AV115" s="209"/>
      <c r="AW115" s="209"/>
      <c r="AX115" s="209"/>
      <c r="AY115" s="209"/>
      <c r="AZ115" s="209"/>
      <c r="BA115" s="209"/>
      <c r="BB115" s="209"/>
      <c r="BC115" s="209"/>
      <c r="BD115" s="209"/>
      <c r="BE115" s="209"/>
      <c r="BF115" s="209"/>
      <c r="BG115" s="209"/>
      <c r="BH115" s="209"/>
      <c r="BI115" s="209"/>
      <c r="BJ115" s="209"/>
      <c r="BK115" s="209"/>
      <c r="BL115" s="209"/>
      <c r="BM115" s="209"/>
      <c r="BN115" s="209"/>
      <c r="BO115" s="209"/>
      <c r="BP115" s="209"/>
      <c r="BQ115" s="209"/>
      <c r="BR115" s="209"/>
      <c r="BS115" s="209"/>
      <c r="BT115" s="209"/>
      <c r="BU115" s="209"/>
      <c r="BV115" s="209"/>
      <c r="BW115" s="209"/>
      <c r="BX115" s="209"/>
      <c r="BY115" s="209"/>
      <c r="BZ115" s="209"/>
      <c r="CA115" s="209"/>
      <c r="CB115" s="209"/>
      <c r="CC115" s="209"/>
      <c r="CD115" s="209"/>
      <c r="CE115" s="209"/>
      <c r="CF115" s="209"/>
      <c r="CG115" s="209"/>
      <c r="CH115" s="209"/>
      <c r="CI115" s="209"/>
      <c r="CJ115" s="209"/>
      <c r="CK115" s="209"/>
      <c r="CL115" s="209"/>
      <c r="CM115" s="209"/>
      <c r="CN115" s="209"/>
      <c r="CO115" s="209"/>
      <c r="CP115" s="209"/>
      <c r="CQ115" s="209"/>
      <c r="CR115" s="209"/>
      <c r="CS115" s="209"/>
      <c r="CT115" s="209"/>
      <c r="CU115" s="209"/>
    </row>
    <row r="116" spans="1:99" ht="38.25" customHeight="1">
      <c r="A116" s="464"/>
      <c r="B116" s="459"/>
      <c r="C116" s="424"/>
      <c r="D116" s="429"/>
      <c r="E116" s="429"/>
      <c r="F116" s="425"/>
      <c r="G116" s="382"/>
      <c r="H116" s="382"/>
      <c r="I116" s="382"/>
      <c r="J116" s="382"/>
      <c r="K116" s="429"/>
      <c r="L116" s="382"/>
      <c r="M116" s="454"/>
      <c r="N116" s="384"/>
      <c r="O116" s="373"/>
      <c r="P116" s="373"/>
      <c r="Q116" s="373"/>
      <c r="R116" s="373"/>
      <c r="S116" s="373"/>
      <c r="T116" s="373"/>
      <c r="U116" s="209"/>
      <c r="V116" s="374"/>
      <c r="W116" s="374"/>
      <c r="X116" s="375"/>
      <c r="Y116" s="374"/>
      <c r="Z116" s="240"/>
      <c r="AA116" s="480"/>
      <c r="AB116" s="480"/>
      <c r="AC116" s="480"/>
      <c r="AD116" s="480"/>
      <c r="AE116" s="480"/>
      <c r="AF116" s="480"/>
      <c r="AG116" s="480"/>
      <c r="AH116" s="480"/>
      <c r="AI116" s="480"/>
      <c r="AJ116" s="480"/>
      <c r="AK116" s="480"/>
      <c r="AL116" s="480"/>
      <c r="AM116" s="480"/>
      <c r="AN116" s="480"/>
      <c r="AO116" s="480"/>
      <c r="AP116" s="480"/>
      <c r="AQ116" s="480"/>
      <c r="AR116" s="480"/>
      <c r="AS116" s="480"/>
      <c r="AT116" s="209"/>
      <c r="AU116" s="209"/>
      <c r="AV116" s="209"/>
      <c r="AW116" s="209"/>
      <c r="AX116" s="209"/>
      <c r="AY116" s="209"/>
      <c r="AZ116" s="209"/>
      <c r="BA116" s="209"/>
      <c r="BB116" s="209"/>
      <c r="BC116" s="209"/>
      <c r="BD116" s="209"/>
      <c r="BE116" s="209"/>
      <c r="BF116" s="209"/>
      <c r="BG116" s="209"/>
      <c r="BH116" s="209"/>
      <c r="BI116" s="209"/>
      <c r="BJ116" s="209"/>
      <c r="BK116" s="209"/>
      <c r="BL116" s="209"/>
      <c r="BM116" s="209"/>
      <c r="BN116" s="209"/>
      <c r="BO116" s="209"/>
      <c r="BP116" s="209"/>
      <c r="BQ116" s="209"/>
      <c r="BR116" s="209"/>
      <c r="BS116" s="209"/>
      <c r="BT116" s="209"/>
      <c r="BU116" s="209"/>
      <c r="BV116" s="209"/>
      <c r="BW116" s="209"/>
      <c r="BX116" s="209"/>
      <c r="BY116" s="209"/>
      <c r="BZ116" s="209"/>
      <c r="CA116" s="209"/>
      <c r="CB116" s="209"/>
      <c r="CC116" s="209"/>
      <c r="CD116" s="209"/>
      <c r="CE116" s="209"/>
      <c r="CF116" s="209"/>
      <c r="CG116" s="209"/>
      <c r="CH116" s="209"/>
      <c r="CI116" s="209"/>
      <c r="CJ116" s="209"/>
      <c r="CK116" s="209"/>
      <c r="CL116" s="209"/>
      <c r="CM116" s="209"/>
      <c r="CN116" s="209"/>
      <c r="CO116" s="209"/>
      <c r="CP116" s="209"/>
      <c r="CQ116" s="209"/>
      <c r="CR116" s="209"/>
      <c r="CS116" s="209"/>
      <c r="CT116" s="209"/>
      <c r="CU116" s="209"/>
    </row>
    <row r="117" spans="1:99" ht="50.1" customHeight="1">
      <c r="A117" s="464"/>
      <c r="B117" s="459"/>
      <c r="C117" s="445" t="s">
        <v>355</v>
      </c>
      <c r="D117" s="429" t="s">
        <v>356</v>
      </c>
      <c r="E117" s="451" t="s">
        <v>357</v>
      </c>
      <c r="F117" s="450" t="s">
        <v>353</v>
      </c>
      <c r="G117" s="382" t="s">
        <v>98</v>
      </c>
      <c r="H117" s="382" t="s">
        <v>27</v>
      </c>
      <c r="I117" s="382" t="s">
        <v>27</v>
      </c>
      <c r="J117" s="451" t="s">
        <v>355</v>
      </c>
      <c r="K117" s="429" t="s">
        <v>356</v>
      </c>
      <c r="L117" s="382" t="s">
        <v>154</v>
      </c>
      <c r="M117" s="454" t="s">
        <v>98</v>
      </c>
      <c r="N117" s="387" t="s">
        <v>358</v>
      </c>
      <c r="O117" s="373"/>
      <c r="P117" s="373"/>
      <c r="Q117" s="373"/>
      <c r="R117" s="373"/>
      <c r="S117" s="373"/>
      <c r="T117" s="373"/>
      <c r="U117" s="209"/>
      <c r="V117" s="374"/>
      <c r="W117" s="374"/>
      <c r="X117" s="375"/>
      <c r="Y117" s="374"/>
      <c r="Z117" s="240"/>
      <c r="AA117" s="480"/>
      <c r="AB117" s="480"/>
      <c r="AC117" s="480"/>
      <c r="AD117" s="480"/>
      <c r="AE117" s="480"/>
      <c r="AF117" s="480"/>
      <c r="AG117" s="480"/>
      <c r="AH117" s="480"/>
      <c r="AI117" s="480"/>
      <c r="AJ117" s="480"/>
      <c r="AK117" s="480"/>
      <c r="AL117" s="480"/>
      <c r="AM117" s="480"/>
      <c r="AN117" s="480"/>
      <c r="AO117" s="480"/>
      <c r="AP117" s="480"/>
      <c r="AQ117" s="480"/>
      <c r="AR117" s="480"/>
      <c r="AS117" s="480"/>
      <c r="AT117" s="209"/>
      <c r="AU117" s="209"/>
      <c r="AV117" s="209"/>
      <c r="AW117" s="209"/>
      <c r="AX117" s="209"/>
      <c r="AY117" s="209"/>
      <c r="AZ117" s="209"/>
      <c r="BA117" s="209"/>
      <c r="BB117" s="209"/>
      <c r="BC117" s="209"/>
      <c r="BD117" s="209"/>
      <c r="BE117" s="209"/>
      <c r="BF117" s="209"/>
      <c r="BG117" s="209"/>
      <c r="BH117" s="209"/>
      <c r="BI117" s="209"/>
      <c r="BJ117" s="209"/>
      <c r="BK117" s="209"/>
      <c r="BL117" s="209"/>
      <c r="BM117" s="209"/>
      <c r="BN117" s="209"/>
      <c r="BO117" s="209"/>
      <c r="BP117" s="209"/>
      <c r="BQ117" s="209"/>
      <c r="BR117" s="209"/>
      <c r="BS117" s="209"/>
      <c r="BT117" s="209"/>
      <c r="BU117" s="209"/>
      <c r="BV117" s="209"/>
      <c r="BW117" s="209"/>
      <c r="BX117" s="209"/>
      <c r="BY117" s="209"/>
      <c r="BZ117" s="209"/>
      <c r="CA117" s="209"/>
      <c r="CB117" s="209"/>
      <c r="CC117" s="209"/>
      <c r="CD117" s="209"/>
      <c r="CE117" s="209"/>
      <c r="CF117" s="209"/>
      <c r="CG117" s="209"/>
      <c r="CH117" s="209"/>
      <c r="CI117" s="209"/>
      <c r="CJ117" s="209"/>
      <c r="CK117" s="209"/>
      <c r="CL117" s="209"/>
      <c r="CM117" s="209"/>
      <c r="CN117" s="209"/>
      <c r="CO117" s="209"/>
      <c r="CP117" s="209"/>
      <c r="CQ117" s="209"/>
      <c r="CR117" s="209"/>
      <c r="CS117" s="209"/>
      <c r="CT117" s="209"/>
      <c r="CU117" s="209"/>
    </row>
    <row r="118" spans="1:99" ht="36.75" customHeight="1">
      <c r="A118" s="471"/>
      <c r="B118" s="460"/>
      <c r="C118" s="446"/>
      <c r="D118" s="434"/>
      <c r="E118" s="452"/>
      <c r="F118" s="456"/>
      <c r="G118" s="383"/>
      <c r="H118" s="383"/>
      <c r="I118" s="383"/>
      <c r="J118" s="452"/>
      <c r="K118" s="434"/>
      <c r="L118" s="383"/>
      <c r="M118" s="455"/>
      <c r="N118" s="387"/>
      <c r="O118" s="373"/>
      <c r="P118" s="373"/>
      <c r="Q118" s="373"/>
      <c r="R118" s="373"/>
      <c r="S118" s="373"/>
      <c r="T118" s="373"/>
      <c r="U118" s="209"/>
      <c r="V118" s="374"/>
      <c r="W118" s="374"/>
      <c r="X118" s="375"/>
      <c r="Y118" s="374"/>
      <c r="Z118" s="240"/>
      <c r="AA118" s="480"/>
      <c r="AB118" s="480"/>
      <c r="AC118" s="480"/>
      <c r="AD118" s="480"/>
      <c r="AE118" s="480"/>
      <c r="AF118" s="480"/>
      <c r="AG118" s="480"/>
      <c r="AH118" s="480"/>
      <c r="AI118" s="480"/>
      <c r="AJ118" s="480"/>
      <c r="AK118" s="480"/>
      <c r="AL118" s="480"/>
      <c r="AM118" s="480"/>
      <c r="AN118" s="480"/>
      <c r="AO118" s="480"/>
      <c r="AP118" s="480"/>
      <c r="AQ118" s="480"/>
      <c r="AR118" s="480"/>
      <c r="AS118" s="480"/>
      <c r="AT118" s="209"/>
      <c r="AU118" s="209"/>
      <c r="AV118" s="209"/>
      <c r="AW118" s="209"/>
      <c r="AX118" s="209"/>
      <c r="AY118" s="209"/>
      <c r="AZ118" s="209"/>
      <c r="BA118" s="209"/>
      <c r="BB118" s="209"/>
      <c r="BC118" s="209"/>
      <c r="BD118" s="209"/>
      <c r="BE118" s="209"/>
      <c r="BF118" s="209"/>
      <c r="BG118" s="209"/>
      <c r="BH118" s="209"/>
      <c r="BI118" s="209"/>
      <c r="BJ118" s="209"/>
      <c r="BK118" s="209"/>
      <c r="BL118" s="209"/>
      <c r="BM118" s="209"/>
      <c r="BN118" s="209"/>
      <c r="BO118" s="209"/>
      <c r="BP118" s="209"/>
      <c r="BQ118" s="209"/>
      <c r="BR118" s="209"/>
      <c r="BS118" s="209"/>
      <c r="BT118" s="209"/>
      <c r="BU118" s="209"/>
      <c r="BV118" s="209"/>
      <c r="BW118" s="209"/>
      <c r="BX118" s="209"/>
      <c r="BY118" s="209"/>
      <c r="BZ118" s="209"/>
      <c r="CA118" s="209"/>
      <c r="CB118" s="209"/>
      <c r="CC118" s="209"/>
      <c r="CD118" s="209"/>
      <c r="CE118" s="209"/>
      <c r="CF118" s="209"/>
      <c r="CG118" s="209"/>
      <c r="CH118" s="209"/>
      <c r="CI118" s="209"/>
      <c r="CJ118" s="209"/>
      <c r="CK118" s="209"/>
      <c r="CL118" s="209"/>
      <c r="CM118" s="209"/>
      <c r="CN118" s="209"/>
      <c r="CO118" s="209"/>
      <c r="CP118" s="209"/>
      <c r="CQ118" s="209"/>
      <c r="CR118" s="209"/>
      <c r="CS118" s="209"/>
      <c r="CT118" s="209"/>
      <c r="CU118" s="209"/>
    </row>
    <row r="119" spans="1:99" ht="125.25" customHeight="1">
      <c r="A119" s="463" t="s">
        <v>359</v>
      </c>
      <c r="B119" s="458" t="s">
        <v>62</v>
      </c>
      <c r="C119" s="52" t="s">
        <v>360</v>
      </c>
      <c r="D119" s="256" t="s">
        <v>361</v>
      </c>
      <c r="E119" s="256" t="s">
        <v>362</v>
      </c>
      <c r="F119" s="260" t="s">
        <v>326</v>
      </c>
      <c r="G119" s="256" t="s">
        <v>98</v>
      </c>
      <c r="H119" s="256" t="s">
        <v>98</v>
      </c>
      <c r="I119" s="260" t="s">
        <v>27</v>
      </c>
      <c r="J119" s="260" t="s">
        <v>360</v>
      </c>
      <c r="K119" s="260" t="s">
        <v>363</v>
      </c>
      <c r="L119" s="260" t="s">
        <v>364</v>
      </c>
      <c r="M119" s="218" t="s">
        <v>326</v>
      </c>
      <c r="N119" s="247" t="s">
        <v>361</v>
      </c>
      <c r="O119" s="239"/>
      <c r="P119" s="239"/>
      <c r="Q119" s="239"/>
      <c r="R119" s="239"/>
      <c r="S119" s="239"/>
      <c r="T119" s="239"/>
      <c r="U119" s="209"/>
      <c r="V119" s="240"/>
      <c r="W119" s="240"/>
      <c r="X119" s="241"/>
      <c r="Y119" s="240"/>
      <c r="Z119" s="240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09"/>
      <c r="AP119" s="209"/>
      <c r="AQ119" s="209"/>
      <c r="AR119" s="209"/>
      <c r="AS119" s="209"/>
      <c r="AT119" s="209"/>
      <c r="AU119" s="209"/>
      <c r="AV119" s="209"/>
      <c r="AW119" s="209"/>
      <c r="AX119" s="209"/>
      <c r="AY119" s="209"/>
      <c r="AZ119" s="209"/>
      <c r="BA119" s="209"/>
      <c r="BB119" s="209"/>
      <c r="BC119" s="209"/>
      <c r="BD119" s="209"/>
      <c r="BE119" s="209"/>
      <c r="BF119" s="209"/>
      <c r="BG119" s="209"/>
      <c r="BH119" s="209"/>
      <c r="BI119" s="209"/>
      <c r="BJ119" s="209"/>
      <c r="BK119" s="209"/>
      <c r="BL119" s="209"/>
      <c r="BM119" s="209"/>
      <c r="BN119" s="209"/>
      <c r="BO119" s="209"/>
      <c r="BP119" s="209"/>
      <c r="BQ119" s="209"/>
      <c r="BR119" s="209"/>
      <c r="BS119" s="209"/>
      <c r="BT119" s="209"/>
      <c r="BU119" s="209"/>
      <c r="BV119" s="209"/>
      <c r="BW119" s="209"/>
      <c r="BX119" s="209"/>
      <c r="BY119" s="209"/>
      <c r="BZ119" s="209"/>
      <c r="CA119" s="209"/>
      <c r="CB119" s="209"/>
      <c r="CC119" s="209"/>
      <c r="CD119" s="209"/>
      <c r="CE119" s="209"/>
      <c r="CF119" s="209"/>
      <c r="CG119" s="209"/>
      <c r="CH119" s="209"/>
      <c r="CI119" s="209"/>
      <c r="CJ119" s="209"/>
      <c r="CK119" s="209"/>
      <c r="CL119" s="209"/>
      <c r="CM119" s="209"/>
      <c r="CN119" s="209"/>
      <c r="CO119" s="209"/>
      <c r="CP119" s="209"/>
      <c r="CQ119" s="209"/>
      <c r="CR119" s="209"/>
      <c r="CS119" s="209"/>
      <c r="CT119" s="209"/>
      <c r="CU119" s="209"/>
    </row>
    <row r="120" spans="1:99" ht="112.5" customHeight="1">
      <c r="A120" s="464"/>
      <c r="B120" s="459"/>
      <c r="C120" s="268" t="s">
        <v>365</v>
      </c>
      <c r="D120" s="261" t="s">
        <v>366</v>
      </c>
      <c r="E120" s="261" t="s">
        <v>367</v>
      </c>
      <c r="F120" s="261" t="s">
        <v>8</v>
      </c>
      <c r="G120" s="261" t="s">
        <v>98</v>
      </c>
      <c r="H120" s="261" t="s">
        <v>98</v>
      </c>
      <c r="I120" s="245" t="s">
        <v>27</v>
      </c>
      <c r="J120" s="245" t="s">
        <v>365</v>
      </c>
      <c r="K120" s="245" t="s">
        <v>368</v>
      </c>
      <c r="L120" s="245" t="s">
        <v>369</v>
      </c>
      <c r="M120" s="264" t="s">
        <v>8</v>
      </c>
      <c r="N120" s="247" t="s">
        <v>366</v>
      </c>
      <c r="O120" s="238"/>
      <c r="P120" s="238"/>
      <c r="Q120" s="238"/>
      <c r="R120" s="238"/>
      <c r="S120" s="239"/>
      <c r="T120" s="239"/>
      <c r="U120" s="209"/>
      <c r="V120" s="240"/>
      <c r="W120" s="240"/>
      <c r="X120" s="241"/>
      <c r="Y120" s="240"/>
      <c r="Z120" s="240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09"/>
      <c r="AP120" s="209"/>
      <c r="AQ120" s="209"/>
      <c r="AR120" s="209"/>
      <c r="AS120" s="209"/>
      <c r="AT120" s="209"/>
      <c r="AU120" s="209"/>
      <c r="AV120" s="209"/>
      <c r="AW120" s="209"/>
      <c r="AX120" s="209"/>
      <c r="AY120" s="209"/>
      <c r="AZ120" s="209"/>
      <c r="BA120" s="209"/>
      <c r="BB120" s="209"/>
      <c r="BC120" s="209"/>
      <c r="BD120" s="209"/>
      <c r="BE120" s="209"/>
      <c r="BF120" s="209"/>
      <c r="BG120" s="209"/>
      <c r="BH120" s="209"/>
      <c r="BI120" s="209"/>
      <c r="BJ120" s="209"/>
      <c r="BK120" s="209"/>
      <c r="BL120" s="209"/>
      <c r="BM120" s="209"/>
      <c r="BN120" s="209"/>
      <c r="BO120" s="209"/>
      <c r="BP120" s="209"/>
      <c r="BQ120" s="209"/>
      <c r="BR120" s="209"/>
      <c r="BS120" s="209"/>
      <c r="BT120" s="209"/>
      <c r="BU120" s="209"/>
      <c r="BV120" s="209"/>
      <c r="BW120" s="209"/>
      <c r="BX120" s="209"/>
      <c r="BY120" s="209"/>
      <c r="BZ120" s="209"/>
      <c r="CA120" s="209"/>
      <c r="CB120" s="209"/>
      <c r="CC120" s="209"/>
      <c r="CD120" s="209"/>
      <c r="CE120" s="209"/>
      <c r="CF120" s="209"/>
      <c r="CG120" s="209"/>
      <c r="CH120" s="209"/>
      <c r="CI120" s="209"/>
      <c r="CJ120" s="209"/>
      <c r="CK120" s="209"/>
      <c r="CL120" s="209"/>
      <c r="CM120" s="209"/>
      <c r="CN120" s="209"/>
      <c r="CO120" s="209"/>
      <c r="CP120" s="209"/>
      <c r="CQ120" s="209"/>
      <c r="CR120" s="209"/>
      <c r="CS120" s="209"/>
      <c r="CT120" s="209"/>
      <c r="CU120" s="209"/>
    </row>
    <row r="121" spans="1:99" ht="122.25" customHeight="1">
      <c r="A121" s="464"/>
      <c r="B121" s="459"/>
      <c r="C121" s="268" t="s">
        <v>370</v>
      </c>
      <c r="D121" s="261" t="s">
        <v>371</v>
      </c>
      <c r="E121" s="261" t="s">
        <v>367</v>
      </c>
      <c r="F121" s="261" t="s">
        <v>8</v>
      </c>
      <c r="G121" s="261" t="s">
        <v>98</v>
      </c>
      <c r="H121" s="261" t="s">
        <v>98</v>
      </c>
      <c r="I121" s="245" t="s">
        <v>27</v>
      </c>
      <c r="J121" s="245" t="s">
        <v>370</v>
      </c>
      <c r="K121" s="245" t="s">
        <v>372</v>
      </c>
      <c r="L121" s="245" t="s">
        <v>369</v>
      </c>
      <c r="M121" s="264" t="s">
        <v>8</v>
      </c>
      <c r="N121" s="221" t="s">
        <v>371</v>
      </c>
      <c r="O121" s="238"/>
      <c r="P121" s="238"/>
      <c r="Q121" s="238"/>
      <c r="R121" s="238"/>
      <c r="S121" s="239"/>
      <c r="T121" s="239"/>
      <c r="U121" s="209"/>
      <c r="V121" s="240"/>
      <c r="W121" s="240"/>
      <c r="X121" s="241"/>
      <c r="Y121" s="240"/>
      <c r="Z121" s="240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09"/>
      <c r="AQ121" s="209"/>
      <c r="AR121" s="209"/>
      <c r="AS121" s="209"/>
      <c r="AT121" s="209"/>
      <c r="AU121" s="209"/>
      <c r="AV121" s="209"/>
      <c r="AW121" s="209"/>
      <c r="AX121" s="209"/>
      <c r="AY121" s="209"/>
      <c r="AZ121" s="209"/>
      <c r="BA121" s="209"/>
      <c r="BB121" s="209"/>
      <c r="BC121" s="209"/>
      <c r="BD121" s="209"/>
      <c r="BE121" s="209"/>
      <c r="BF121" s="209"/>
      <c r="BG121" s="209"/>
      <c r="BH121" s="209"/>
      <c r="BI121" s="209"/>
      <c r="BJ121" s="209"/>
      <c r="BK121" s="209"/>
      <c r="BL121" s="209"/>
      <c r="BM121" s="209"/>
      <c r="BN121" s="209"/>
      <c r="BO121" s="209"/>
      <c r="BP121" s="209"/>
      <c r="BQ121" s="209"/>
      <c r="BR121" s="209"/>
      <c r="BS121" s="209"/>
      <c r="BT121" s="209"/>
      <c r="BU121" s="209"/>
      <c r="BV121" s="209"/>
      <c r="BW121" s="209"/>
      <c r="BX121" s="209"/>
      <c r="BY121" s="209"/>
      <c r="BZ121" s="209"/>
      <c r="CA121" s="209"/>
      <c r="CB121" s="209"/>
      <c r="CC121" s="209"/>
      <c r="CD121" s="209"/>
      <c r="CE121" s="209"/>
      <c r="CF121" s="209"/>
      <c r="CG121" s="209"/>
      <c r="CH121" s="209"/>
      <c r="CI121" s="209"/>
      <c r="CJ121" s="209"/>
      <c r="CK121" s="209"/>
      <c r="CL121" s="209"/>
      <c r="CM121" s="209"/>
      <c r="CN121" s="209"/>
      <c r="CO121" s="209"/>
      <c r="CP121" s="209"/>
      <c r="CQ121" s="209"/>
      <c r="CR121" s="209"/>
      <c r="CS121" s="209"/>
      <c r="CT121" s="209"/>
      <c r="CU121" s="209"/>
    </row>
    <row r="122" spans="1:99" ht="122.25" customHeight="1">
      <c r="A122" s="464"/>
      <c r="B122" s="459"/>
      <c r="C122" s="268" t="s">
        <v>373</v>
      </c>
      <c r="D122" s="261" t="s">
        <v>374</v>
      </c>
      <c r="E122" s="261" t="s">
        <v>367</v>
      </c>
      <c r="F122" s="261" t="s">
        <v>6</v>
      </c>
      <c r="G122" s="261" t="s">
        <v>98</v>
      </c>
      <c r="H122" s="261" t="s">
        <v>98</v>
      </c>
      <c r="I122" s="245" t="s">
        <v>27</v>
      </c>
      <c r="J122" s="245" t="s">
        <v>373</v>
      </c>
      <c r="K122" s="261" t="s">
        <v>375</v>
      </c>
      <c r="L122" s="245" t="s">
        <v>376</v>
      </c>
      <c r="M122" s="264" t="s">
        <v>6</v>
      </c>
      <c r="N122" s="265" t="s">
        <v>374</v>
      </c>
      <c r="O122" s="238"/>
      <c r="P122" s="238"/>
      <c r="Q122" s="238"/>
      <c r="R122" s="238"/>
      <c r="S122" s="238"/>
      <c r="T122" s="238"/>
      <c r="U122" s="209"/>
      <c r="V122" s="240"/>
      <c r="W122" s="240"/>
      <c r="X122" s="241"/>
      <c r="Y122" s="240"/>
      <c r="Z122" s="240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9"/>
      <c r="AO122" s="209"/>
      <c r="AP122" s="209"/>
      <c r="AQ122" s="209"/>
      <c r="AR122" s="209"/>
      <c r="AS122" s="209"/>
      <c r="AT122" s="209"/>
      <c r="AU122" s="209"/>
      <c r="AV122" s="209"/>
      <c r="AW122" s="209"/>
      <c r="AX122" s="209"/>
      <c r="AY122" s="209"/>
      <c r="AZ122" s="209"/>
      <c r="BA122" s="209"/>
      <c r="BB122" s="209"/>
      <c r="BC122" s="209"/>
      <c r="BD122" s="209"/>
      <c r="BE122" s="209"/>
      <c r="BF122" s="209"/>
      <c r="BG122" s="209"/>
      <c r="BH122" s="209"/>
      <c r="BI122" s="209"/>
      <c r="BJ122" s="209"/>
      <c r="BK122" s="209"/>
      <c r="BL122" s="209"/>
      <c r="BM122" s="209"/>
      <c r="BN122" s="209"/>
      <c r="BO122" s="209"/>
      <c r="BP122" s="209"/>
      <c r="BQ122" s="209"/>
      <c r="BR122" s="209"/>
      <c r="BS122" s="209"/>
      <c r="BT122" s="209"/>
      <c r="BU122" s="209"/>
      <c r="BV122" s="209"/>
      <c r="BW122" s="209"/>
      <c r="BX122" s="209"/>
      <c r="BY122" s="209"/>
      <c r="BZ122" s="209"/>
      <c r="CA122" s="209"/>
      <c r="CB122" s="209"/>
      <c r="CC122" s="209"/>
      <c r="CD122" s="209"/>
      <c r="CE122" s="209"/>
      <c r="CF122" s="209"/>
      <c r="CG122" s="209"/>
      <c r="CH122" s="209"/>
      <c r="CI122" s="209"/>
      <c r="CJ122" s="209"/>
      <c r="CK122" s="209"/>
      <c r="CL122" s="209"/>
      <c r="CM122" s="209"/>
      <c r="CN122" s="209"/>
      <c r="CO122" s="209"/>
      <c r="CP122" s="209"/>
      <c r="CQ122" s="209"/>
      <c r="CR122" s="209"/>
      <c r="CS122" s="209"/>
      <c r="CT122" s="209"/>
      <c r="CU122" s="209"/>
    </row>
    <row r="123" spans="1:99" ht="67.5" customHeight="1">
      <c r="A123" s="464"/>
      <c r="B123" s="459"/>
      <c r="C123" s="453" t="s">
        <v>377</v>
      </c>
      <c r="D123" s="429" t="s">
        <v>371</v>
      </c>
      <c r="E123" s="429" t="s">
        <v>367</v>
      </c>
      <c r="F123" s="413" t="s">
        <v>378</v>
      </c>
      <c r="G123" s="429" t="s">
        <v>98</v>
      </c>
      <c r="H123" s="429" t="s">
        <v>98</v>
      </c>
      <c r="I123" s="382" t="s">
        <v>27</v>
      </c>
      <c r="J123" s="382" t="s">
        <v>377</v>
      </c>
      <c r="K123" s="382" t="s">
        <v>379</v>
      </c>
      <c r="L123" s="382" t="s">
        <v>369</v>
      </c>
      <c r="M123" s="449" t="s">
        <v>232</v>
      </c>
      <c r="N123" s="384" t="s">
        <v>380</v>
      </c>
      <c r="O123" s="372"/>
      <c r="P123" s="372"/>
      <c r="Q123" s="372"/>
      <c r="R123" s="372"/>
      <c r="S123" s="373"/>
      <c r="T123" s="373"/>
      <c r="U123" s="209"/>
      <c r="V123" s="374"/>
      <c r="W123" s="374"/>
      <c r="X123" s="375"/>
      <c r="Y123" s="374"/>
      <c r="Z123" s="240"/>
      <c r="AA123" s="371"/>
      <c r="AB123" s="371"/>
      <c r="AC123" s="371"/>
      <c r="AD123" s="371"/>
      <c r="AE123" s="371"/>
      <c r="AF123" s="371"/>
      <c r="AG123" s="371"/>
      <c r="AH123" s="371"/>
      <c r="AI123" s="371"/>
      <c r="AJ123" s="371"/>
      <c r="AK123" s="371"/>
      <c r="AL123" s="371"/>
      <c r="AM123" s="371"/>
      <c r="AN123" s="371"/>
      <c r="AO123" s="371"/>
      <c r="AP123" s="371"/>
      <c r="AQ123" s="371"/>
      <c r="AR123" s="371"/>
      <c r="AS123" s="371"/>
      <c r="AT123" s="209"/>
      <c r="AU123" s="209"/>
      <c r="AV123" s="209"/>
      <c r="AW123" s="209"/>
      <c r="AX123" s="209"/>
      <c r="AY123" s="209"/>
      <c r="AZ123" s="209"/>
      <c r="BA123" s="209"/>
      <c r="BB123" s="209"/>
      <c r="BC123" s="209"/>
      <c r="BD123" s="209"/>
      <c r="BE123" s="209"/>
      <c r="BF123" s="209"/>
      <c r="BG123" s="209"/>
      <c r="BH123" s="209"/>
      <c r="BI123" s="209"/>
      <c r="BJ123" s="209"/>
      <c r="BK123" s="209"/>
      <c r="BL123" s="209"/>
      <c r="BM123" s="209"/>
      <c r="BN123" s="209"/>
      <c r="BO123" s="209"/>
      <c r="BP123" s="209"/>
      <c r="BQ123" s="209"/>
      <c r="BR123" s="209"/>
      <c r="BS123" s="209"/>
      <c r="BT123" s="209"/>
      <c r="BU123" s="209"/>
      <c r="BV123" s="209"/>
      <c r="BW123" s="209"/>
      <c r="BX123" s="209"/>
      <c r="BY123" s="209"/>
      <c r="BZ123" s="209"/>
      <c r="CA123" s="209"/>
      <c r="CB123" s="209"/>
      <c r="CC123" s="209"/>
      <c r="CD123" s="209"/>
      <c r="CE123" s="209"/>
      <c r="CF123" s="209"/>
      <c r="CG123" s="209"/>
      <c r="CH123" s="209"/>
      <c r="CI123" s="209"/>
      <c r="CJ123" s="209"/>
      <c r="CK123" s="209"/>
      <c r="CL123" s="209"/>
      <c r="CM123" s="209"/>
      <c r="CN123" s="209"/>
      <c r="CO123" s="209"/>
      <c r="CP123" s="209"/>
      <c r="CQ123" s="209"/>
      <c r="CR123" s="209"/>
      <c r="CS123" s="209"/>
      <c r="CT123" s="209"/>
      <c r="CU123" s="209"/>
    </row>
    <row r="124" spans="1:99" ht="60" customHeight="1">
      <c r="A124" s="464"/>
      <c r="B124" s="459"/>
      <c r="C124" s="453"/>
      <c r="D124" s="429"/>
      <c r="E124" s="429"/>
      <c r="F124" s="414"/>
      <c r="G124" s="429"/>
      <c r="H124" s="429"/>
      <c r="I124" s="382"/>
      <c r="J124" s="382"/>
      <c r="K124" s="382"/>
      <c r="L124" s="382"/>
      <c r="M124" s="435"/>
      <c r="N124" s="384"/>
      <c r="O124" s="372"/>
      <c r="P124" s="372"/>
      <c r="Q124" s="372"/>
      <c r="R124" s="372"/>
      <c r="S124" s="373"/>
      <c r="T124" s="373"/>
      <c r="U124" s="209"/>
      <c r="V124" s="374"/>
      <c r="W124" s="374"/>
      <c r="X124" s="375"/>
      <c r="Y124" s="374"/>
      <c r="Z124" s="240"/>
      <c r="AA124" s="371"/>
      <c r="AB124" s="371"/>
      <c r="AC124" s="371"/>
      <c r="AD124" s="371"/>
      <c r="AE124" s="371"/>
      <c r="AF124" s="371"/>
      <c r="AG124" s="371"/>
      <c r="AH124" s="371"/>
      <c r="AI124" s="371"/>
      <c r="AJ124" s="371"/>
      <c r="AK124" s="371"/>
      <c r="AL124" s="371"/>
      <c r="AM124" s="371"/>
      <c r="AN124" s="371"/>
      <c r="AO124" s="371"/>
      <c r="AP124" s="371"/>
      <c r="AQ124" s="371"/>
      <c r="AR124" s="371"/>
      <c r="AS124" s="371"/>
      <c r="AT124" s="209"/>
      <c r="AU124" s="209"/>
      <c r="AV124" s="209"/>
      <c r="AW124" s="209"/>
      <c r="AX124" s="209"/>
      <c r="AY124" s="209"/>
      <c r="AZ124" s="209"/>
      <c r="BA124" s="209"/>
      <c r="BB124" s="209"/>
      <c r="BC124" s="209"/>
      <c r="BD124" s="209"/>
      <c r="BE124" s="209"/>
      <c r="BF124" s="209"/>
      <c r="BG124" s="209"/>
      <c r="BH124" s="209"/>
      <c r="BI124" s="209"/>
      <c r="BJ124" s="209"/>
      <c r="BK124" s="209"/>
      <c r="BL124" s="209"/>
      <c r="BM124" s="209"/>
      <c r="BN124" s="209"/>
      <c r="BO124" s="209"/>
      <c r="BP124" s="209"/>
      <c r="BQ124" s="209"/>
      <c r="BR124" s="209"/>
      <c r="BS124" s="209"/>
      <c r="BT124" s="209"/>
      <c r="BU124" s="209"/>
      <c r="BV124" s="209"/>
      <c r="BW124" s="209"/>
      <c r="BX124" s="209"/>
      <c r="BY124" s="209"/>
      <c r="BZ124" s="209"/>
      <c r="CA124" s="209"/>
      <c r="CB124" s="209"/>
      <c r="CC124" s="209"/>
      <c r="CD124" s="209"/>
      <c r="CE124" s="209"/>
      <c r="CF124" s="209"/>
      <c r="CG124" s="209"/>
      <c r="CH124" s="209"/>
      <c r="CI124" s="209"/>
      <c r="CJ124" s="209"/>
      <c r="CK124" s="209"/>
      <c r="CL124" s="209"/>
      <c r="CM124" s="209"/>
      <c r="CN124" s="209"/>
      <c r="CO124" s="209"/>
      <c r="CP124" s="209"/>
      <c r="CQ124" s="209"/>
      <c r="CR124" s="209"/>
      <c r="CS124" s="209"/>
      <c r="CT124" s="209"/>
      <c r="CU124" s="209"/>
    </row>
    <row r="125" spans="1:99" ht="50.1" customHeight="1">
      <c r="A125" s="464"/>
      <c r="B125" s="459"/>
      <c r="C125" s="453" t="s">
        <v>381</v>
      </c>
      <c r="D125" s="429" t="s">
        <v>382</v>
      </c>
      <c r="E125" s="429" t="s">
        <v>367</v>
      </c>
      <c r="F125" s="413" t="s">
        <v>378</v>
      </c>
      <c r="G125" s="429" t="s">
        <v>98</v>
      </c>
      <c r="H125" s="429" t="s">
        <v>98</v>
      </c>
      <c r="I125" s="382" t="s">
        <v>27</v>
      </c>
      <c r="J125" s="382" t="s">
        <v>383</v>
      </c>
      <c r="K125" s="382" t="s">
        <v>384</v>
      </c>
      <c r="L125" s="382" t="s">
        <v>364</v>
      </c>
      <c r="M125" s="449" t="s">
        <v>232</v>
      </c>
      <c r="N125" s="384" t="s">
        <v>385</v>
      </c>
      <c r="O125" s="373"/>
      <c r="P125" s="373"/>
      <c r="Q125" s="373"/>
      <c r="R125" s="373"/>
      <c r="S125" s="373"/>
      <c r="T125" s="373"/>
      <c r="U125" s="209"/>
      <c r="V125" s="374"/>
      <c r="W125" s="374"/>
      <c r="X125" s="375"/>
      <c r="Y125" s="374"/>
      <c r="Z125" s="240"/>
      <c r="AA125" s="371"/>
      <c r="AB125" s="371"/>
      <c r="AC125" s="371"/>
      <c r="AD125" s="371"/>
      <c r="AE125" s="371"/>
      <c r="AF125" s="371"/>
      <c r="AG125" s="371"/>
      <c r="AH125" s="371"/>
      <c r="AI125" s="371"/>
      <c r="AJ125" s="371"/>
      <c r="AK125" s="371"/>
      <c r="AL125" s="371"/>
      <c r="AM125" s="371"/>
      <c r="AN125" s="371"/>
      <c r="AO125" s="371"/>
      <c r="AP125" s="371"/>
      <c r="AQ125" s="371"/>
      <c r="AR125" s="371"/>
      <c r="AS125" s="371"/>
      <c r="AT125" s="209"/>
      <c r="AU125" s="209"/>
      <c r="AV125" s="209"/>
      <c r="AW125" s="209"/>
      <c r="AX125" s="209"/>
      <c r="AY125" s="209"/>
      <c r="AZ125" s="209"/>
      <c r="BA125" s="209"/>
      <c r="BB125" s="209"/>
      <c r="BC125" s="209"/>
      <c r="BD125" s="209"/>
      <c r="BE125" s="209"/>
      <c r="BF125" s="209"/>
      <c r="BG125" s="209"/>
      <c r="BH125" s="209"/>
      <c r="BI125" s="209"/>
      <c r="BJ125" s="209"/>
      <c r="BK125" s="209"/>
      <c r="BL125" s="209"/>
      <c r="BM125" s="209"/>
      <c r="BN125" s="209"/>
      <c r="BO125" s="209"/>
      <c r="BP125" s="209"/>
      <c r="BQ125" s="209"/>
      <c r="BR125" s="209"/>
      <c r="BS125" s="209"/>
      <c r="BT125" s="209"/>
      <c r="BU125" s="209"/>
      <c r="BV125" s="209"/>
      <c r="BW125" s="209"/>
      <c r="BX125" s="209"/>
      <c r="BY125" s="209"/>
      <c r="BZ125" s="209"/>
      <c r="CA125" s="209"/>
      <c r="CB125" s="209"/>
      <c r="CC125" s="209"/>
      <c r="CD125" s="209"/>
      <c r="CE125" s="209"/>
      <c r="CF125" s="209"/>
      <c r="CG125" s="209"/>
      <c r="CH125" s="209"/>
      <c r="CI125" s="209"/>
      <c r="CJ125" s="209"/>
      <c r="CK125" s="209"/>
      <c r="CL125" s="209"/>
      <c r="CM125" s="209"/>
      <c r="CN125" s="209"/>
      <c r="CO125" s="209"/>
      <c r="CP125" s="209"/>
      <c r="CQ125" s="209"/>
      <c r="CR125" s="209"/>
      <c r="CS125" s="209"/>
      <c r="CT125" s="209"/>
      <c r="CU125" s="209"/>
    </row>
    <row r="126" spans="1:99" ht="115.5" customHeight="1">
      <c r="A126" s="464"/>
      <c r="B126" s="459"/>
      <c r="C126" s="453"/>
      <c r="D126" s="429"/>
      <c r="E126" s="429"/>
      <c r="F126" s="414"/>
      <c r="G126" s="429"/>
      <c r="H126" s="429"/>
      <c r="I126" s="382"/>
      <c r="J126" s="382"/>
      <c r="K126" s="382"/>
      <c r="L126" s="382"/>
      <c r="M126" s="435"/>
      <c r="N126" s="384"/>
      <c r="O126" s="373"/>
      <c r="P126" s="373"/>
      <c r="Q126" s="373"/>
      <c r="R126" s="373"/>
      <c r="S126" s="373"/>
      <c r="T126" s="373"/>
      <c r="U126" s="209"/>
      <c r="V126" s="374"/>
      <c r="W126" s="374"/>
      <c r="X126" s="375"/>
      <c r="Y126" s="374"/>
      <c r="Z126" s="240"/>
      <c r="AA126" s="371"/>
      <c r="AB126" s="371"/>
      <c r="AC126" s="371"/>
      <c r="AD126" s="371"/>
      <c r="AE126" s="371"/>
      <c r="AF126" s="371"/>
      <c r="AG126" s="371"/>
      <c r="AH126" s="371"/>
      <c r="AI126" s="371"/>
      <c r="AJ126" s="371"/>
      <c r="AK126" s="371"/>
      <c r="AL126" s="371"/>
      <c r="AM126" s="371"/>
      <c r="AN126" s="371"/>
      <c r="AO126" s="371"/>
      <c r="AP126" s="371"/>
      <c r="AQ126" s="371"/>
      <c r="AR126" s="371"/>
      <c r="AS126" s="371"/>
      <c r="AT126" s="209"/>
      <c r="AU126" s="209"/>
      <c r="AV126" s="209"/>
      <c r="AW126" s="209"/>
      <c r="AX126" s="209"/>
      <c r="AY126" s="209"/>
      <c r="AZ126" s="209"/>
      <c r="BA126" s="209"/>
      <c r="BB126" s="209"/>
      <c r="BC126" s="209"/>
      <c r="BD126" s="209"/>
      <c r="BE126" s="209"/>
      <c r="BF126" s="209"/>
      <c r="BG126" s="209"/>
      <c r="BH126" s="209"/>
      <c r="BI126" s="209"/>
      <c r="BJ126" s="209"/>
      <c r="BK126" s="209"/>
      <c r="BL126" s="209"/>
      <c r="BM126" s="209"/>
      <c r="BN126" s="209"/>
      <c r="BO126" s="209"/>
      <c r="BP126" s="209"/>
      <c r="BQ126" s="209"/>
      <c r="BR126" s="209"/>
      <c r="BS126" s="209"/>
      <c r="BT126" s="209"/>
      <c r="BU126" s="209"/>
      <c r="BV126" s="209"/>
      <c r="BW126" s="209"/>
      <c r="BX126" s="209"/>
      <c r="BY126" s="209"/>
      <c r="BZ126" s="209"/>
      <c r="CA126" s="209"/>
      <c r="CB126" s="209"/>
      <c r="CC126" s="209"/>
      <c r="CD126" s="209"/>
      <c r="CE126" s="209"/>
      <c r="CF126" s="209"/>
      <c r="CG126" s="209"/>
      <c r="CH126" s="209"/>
      <c r="CI126" s="209"/>
      <c r="CJ126" s="209"/>
      <c r="CK126" s="209"/>
      <c r="CL126" s="209"/>
      <c r="CM126" s="209"/>
      <c r="CN126" s="209"/>
      <c r="CO126" s="209"/>
      <c r="CP126" s="209"/>
      <c r="CQ126" s="209"/>
      <c r="CR126" s="209"/>
      <c r="CS126" s="209"/>
      <c r="CT126" s="209"/>
      <c r="CU126" s="209"/>
    </row>
    <row r="127" spans="1:99" ht="50.1" customHeight="1">
      <c r="A127" s="464"/>
      <c r="B127" s="459"/>
      <c r="C127" s="440" t="s">
        <v>386</v>
      </c>
      <c r="D127" s="429" t="s">
        <v>387</v>
      </c>
      <c r="E127" s="429" t="s">
        <v>367</v>
      </c>
      <c r="F127" s="450" t="s">
        <v>353</v>
      </c>
      <c r="G127" s="429" t="s">
        <v>98</v>
      </c>
      <c r="H127" s="429" t="s">
        <v>98</v>
      </c>
      <c r="I127" s="382" t="s">
        <v>27</v>
      </c>
      <c r="J127" s="382" t="s">
        <v>388</v>
      </c>
      <c r="K127" s="474" t="s">
        <v>389</v>
      </c>
      <c r="L127" s="382" t="s">
        <v>369</v>
      </c>
      <c r="M127" s="461" t="s">
        <v>353</v>
      </c>
      <c r="N127" s="384" t="s">
        <v>390</v>
      </c>
      <c r="O127" s="373"/>
      <c r="P127" s="373"/>
      <c r="Q127" s="373"/>
      <c r="R127" s="373"/>
      <c r="S127" s="373"/>
      <c r="T127" s="373"/>
      <c r="U127" s="209"/>
      <c r="V127" s="374"/>
      <c r="W127" s="374"/>
      <c r="X127" s="375"/>
      <c r="Y127" s="374"/>
      <c r="Z127" s="240"/>
      <c r="AA127" s="371"/>
      <c r="AB127" s="371"/>
      <c r="AC127" s="371"/>
      <c r="AD127" s="371"/>
      <c r="AE127" s="371"/>
      <c r="AF127" s="371"/>
      <c r="AG127" s="371"/>
      <c r="AH127" s="371"/>
      <c r="AI127" s="371"/>
      <c r="AJ127" s="371"/>
      <c r="AK127" s="371"/>
      <c r="AL127" s="371"/>
      <c r="AM127" s="371"/>
      <c r="AN127" s="371"/>
      <c r="AO127" s="371"/>
      <c r="AP127" s="371"/>
      <c r="AQ127" s="371"/>
      <c r="AR127" s="371"/>
      <c r="AS127" s="371"/>
      <c r="AT127" s="209"/>
      <c r="AU127" s="209"/>
      <c r="AV127" s="209"/>
      <c r="AW127" s="209"/>
      <c r="AX127" s="209"/>
      <c r="AY127" s="209"/>
      <c r="AZ127" s="209"/>
      <c r="BA127" s="209"/>
      <c r="BB127" s="209"/>
      <c r="BC127" s="209"/>
      <c r="BD127" s="209"/>
      <c r="BE127" s="209"/>
      <c r="BF127" s="209"/>
      <c r="BG127" s="209"/>
      <c r="BH127" s="209"/>
      <c r="BI127" s="209"/>
      <c r="BJ127" s="209"/>
      <c r="BK127" s="209"/>
      <c r="BL127" s="209"/>
      <c r="BM127" s="209"/>
      <c r="BN127" s="209"/>
      <c r="BO127" s="209"/>
      <c r="BP127" s="209"/>
      <c r="BQ127" s="209"/>
      <c r="BR127" s="209"/>
      <c r="BS127" s="209"/>
      <c r="BT127" s="209"/>
      <c r="BU127" s="209"/>
      <c r="BV127" s="209"/>
      <c r="BW127" s="209"/>
      <c r="BX127" s="209"/>
      <c r="BY127" s="209"/>
      <c r="BZ127" s="209"/>
      <c r="CA127" s="209"/>
      <c r="CB127" s="209"/>
      <c r="CC127" s="209"/>
      <c r="CD127" s="209"/>
      <c r="CE127" s="209"/>
      <c r="CF127" s="209"/>
      <c r="CG127" s="209"/>
      <c r="CH127" s="209"/>
      <c r="CI127" s="209"/>
      <c r="CJ127" s="209"/>
      <c r="CK127" s="209"/>
      <c r="CL127" s="209"/>
      <c r="CM127" s="209"/>
      <c r="CN127" s="209"/>
      <c r="CO127" s="209"/>
      <c r="CP127" s="209"/>
      <c r="CQ127" s="209"/>
      <c r="CR127" s="209"/>
      <c r="CS127" s="209"/>
      <c r="CT127" s="209"/>
      <c r="CU127" s="209"/>
    </row>
    <row r="128" spans="1:99" ht="50.1" customHeight="1">
      <c r="A128" s="464"/>
      <c r="B128" s="460"/>
      <c r="C128" s="441"/>
      <c r="D128" s="434"/>
      <c r="E128" s="434"/>
      <c r="F128" s="456"/>
      <c r="G128" s="434"/>
      <c r="H128" s="434"/>
      <c r="I128" s="383"/>
      <c r="J128" s="383"/>
      <c r="K128" s="475"/>
      <c r="L128" s="383"/>
      <c r="M128" s="462"/>
      <c r="N128" s="384"/>
      <c r="O128" s="373"/>
      <c r="P128" s="373"/>
      <c r="Q128" s="373"/>
      <c r="R128" s="373"/>
      <c r="S128" s="373"/>
      <c r="T128" s="373"/>
      <c r="U128" s="209"/>
      <c r="V128" s="374"/>
      <c r="W128" s="374"/>
      <c r="X128" s="375"/>
      <c r="Y128" s="374"/>
      <c r="Z128" s="240"/>
      <c r="AA128" s="371"/>
      <c r="AB128" s="371"/>
      <c r="AC128" s="371"/>
      <c r="AD128" s="371"/>
      <c r="AE128" s="371"/>
      <c r="AF128" s="371"/>
      <c r="AG128" s="371"/>
      <c r="AH128" s="371"/>
      <c r="AI128" s="371"/>
      <c r="AJ128" s="371"/>
      <c r="AK128" s="371"/>
      <c r="AL128" s="371"/>
      <c r="AM128" s="371"/>
      <c r="AN128" s="371"/>
      <c r="AO128" s="371"/>
      <c r="AP128" s="371"/>
      <c r="AQ128" s="371"/>
      <c r="AR128" s="371"/>
      <c r="AS128" s="371"/>
      <c r="AT128" s="209"/>
      <c r="AU128" s="209"/>
      <c r="AV128" s="209"/>
      <c r="AW128" s="209"/>
      <c r="AX128" s="209"/>
      <c r="AY128" s="209"/>
      <c r="AZ128" s="209"/>
      <c r="BA128" s="209"/>
      <c r="BB128" s="209"/>
      <c r="BC128" s="209"/>
      <c r="BD128" s="209"/>
      <c r="BE128" s="209"/>
      <c r="BF128" s="209"/>
      <c r="BG128" s="209"/>
      <c r="BH128" s="209"/>
      <c r="BI128" s="209"/>
      <c r="BJ128" s="209"/>
      <c r="BK128" s="209"/>
      <c r="BL128" s="209"/>
      <c r="BM128" s="209"/>
      <c r="BN128" s="209"/>
      <c r="BO128" s="209"/>
      <c r="BP128" s="209"/>
      <c r="BQ128" s="209"/>
      <c r="BR128" s="209"/>
      <c r="BS128" s="209"/>
      <c r="BT128" s="209"/>
      <c r="BU128" s="209"/>
      <c r="BV128" s="209"/>
      <c r="BW128" s="209"/>
      <c r="BX128" s="209"/>
      <c r="BY128" s="209"/>
      <c r="BZ128" s="209"/>
      <c r="CA128" s="209"/>
      <c r="CB128" s="209"/>
      <c r="CC128" s="209"/>
      <c r="CD128" s="209"/>
      <c r="CE128" s="209"/>
      <c r="CF128" s="209"/>
      <c r="CG128" s="209"/>
      <c r="CH128" s="209"/>
      <c r="CI128" s="209"/>
      <c r="CJ128" s="209"/>
      <c r="CK128" s="209"/>
      <c r="CL128" s="209"/>
      <c r="CM128" s="209"/>
      <c r="CN128" s="209"/>
      <c r="CO128" s="209"/>
      <c r="CP128" s="209"/>
      <c r="CQ128" s="209"/>
      <c r="CR128" s="209"/>
      <c r="CS128" s="209"/>
      <c r="CT128" s="209"/>
      <c r="CU128" s="209"/>
    </row>
    <row r="129" spans="1:99" ht="91.5" customHeight="1">
      <c r="A129" s="464"/>
      <c r="B129" s="404" t="s">
        <v>391</v>
      </c>
      <c r="C129" s="52" t="s">
        <v>392</v>
      </c>
      <c r="D129" s="256" t="s">
        <v>393</v>
      </c>
      <c r="E129" s="256" t="s">
        <v>394</v>
      </c>
      <c r="F129" s="256" t="s">
        <v>27</v>
      </c>
      <c r="G129" s="256" t="s">
        <v>98</v>
      </c>
      <c r="H129" s="260" t="s">
        <v>27</v>
      </c>
      <c r="I129" s="260" t="s">
        <v>27</v>
      </c>
      <c r="J129" s="256" t="s">
        <v>395</v>
      </c>
      <c r="K129" s="256" t="s">
        <v>393</v>
      </c>
      <c r="L129" s="260" t="s">
        <v>369</v>
      </c>
      <c r="M129" s="263" t="s">
        <v>27</v>
      </c>
      <c r="N129" s="247" t="s">
        <v>396</v>
      </c>
      <c r="O129" s="238"/>
      <c r="P129" s="238"/>
      <c r="Q129" s="238"/>
      <c r="R129" s="238"/>
      <c r="S129" s="239"/>
      <c r="T129" s="239"/>
      <c r="U129" s="209"/>
      <c r="V129" s="240"/>
      <c r="W129" s="240"/>
      <c r="X129" s="241"/>
      <c r="Y129" s="240"/>
      <c r="Z129" s="240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9"/>
      <c r="AO129" s="209"/>
      <c r="AP129" s="209"/>
      <c r="AQ129" s="209"/>
      <c r="AR129" s="209"/>
      <c r="AS129" s="209"/>
      <c r="AT129" s="209"/>
      <c r="AU129" s="209"/>
      <c r="AV129" s="209"/>
      <c r="AW129" s="209"/>
      <c r="AX129" s="209"/>
      <c r="AY129" s="209"/>
      <c r="AZ129" s="209"/>
      <c r="BA129" s="209"/>
      <c r="BB129" s="209"/>
      <c r="BC129" s="209"/>
      <c r="BD129" s="209"/>
      <c r="BE129" s="209"/>
      <c r="BF129" s="209"/>
      <c r="BG129" s="209"/>
      <c r="BH129" s="209"/>
      <c r="BI129" s="209"/>
      <c r="BJ129" s="209"/>
      <c r="BK129" s="209"/>
      <c r="BL129" s="209"/>
      <c r="BM129" s="209"/>
      <c r="BN129" s="209"/>
      <c r="BO129" s="209"/>
      <c r="BP129" s="209"/>
      <c r="BQ129" s="209"/>
      <c r="BR129" s="209"/>
      <c r="BS129" s="209"/>
      <c r="BT129" s="209"/>
      <c r="BU129" s="209"/>
      <c r="BV129" s="209"/>
      <c r="BW129" s="209"/>
      <c r="BX129" s="209"/>
      <c r="BY129" s="209"/>
      <c r="BZ129" s="209"/>
      <c r="CA129" s="209"/>
      <c r="CB129" s="209"/>
      <c r="CC129" s="209"/>
      <c r="CD129" s="209"/>
      <c r="CE129" s="209"/>
      <c r="CF129" s="209"/>
      <c r="CG129" s="209"/>
      <c r="CH129" s="209"/>
      <c r="CI129" s="209"/>
      <c r="CJ129" s="209"/>
      <c r="CK129" s="209"/>
      <c r="CL129" s="209"/>
      <c r="CM129" s="209"/>
      <c r="CN129" s="209"/>
      <c r="CO129" s="209"/>
      <c r="CP129" s="209"/>
      <c r="CQ129" s="209"/>
      <c r="CR129" s="209"/>
      <c r="CS129" s="209"/>
      <c r="CT129" s="209"/>
      <c r="CU129" s="209"/>
    </row>
    <row r="130" spans="1:99" ht="70.5" customHeight="1">
      <c r="A130" s="464"/>
      <c r="B130" s="405"/>
      <c r="C130" s="268" t="s">
        <v>397</v>
      </c>
      <c r="D130" s="261" t="s">
        <v>398</v>
      </c>
      <c r="E130" s="261" t="s">
        <v>394</v>
      </c>
      <c r="F130" s="261" t="s">
        <v>98</v>
      </c>
      <c r="G130" s="261" t="s">
        <v>98</v>
      </c>
      <c r="H130" s="245" t="s">
        <v>27</v>
      </c>
      <c r="I130" s="245" t="s">
        <v>27</v>
      </c>
      <c r="J130" s="261" t="s">
        <v>397</v>
      </c>
      <c r="K130" s="261" t="s">
        <v>399</v>
      </c>
      <c r="L130" s="245" t="s">
        <v>376</v>
      </c>
      <c r="M130" s="264" t="s">
        <v>98</v>
      </c>
      <c r="N130" s="247" t="s">
        <v>400</v>
      </c>
      <c r="O130" s="238"/>
      <c r="P130" s="238"/>
      <c r="Q130" s="238"/>
      <c r="R130" s="238"/>
      <c r="S130" s="239"/>
      <c r="T130" s="239"/>
      <c r="U130" s="209"/>
      <c r="V130" s="240"/>
      <c r="W130" s="240"/>
      <c r="X130" s="241"/>
      <c r="Y130" s="240"/>
      <c r="Z130" s="240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09"/>
      <c r="AP130" s="209"/>
      <c r="AQ130" s="209"/>
      <c r="AR130" s="209"/>
      <c r="AS130" s="209"/>
      <c r="AT130" s="209"/>
      <c r="AU130" s="209"/>
      <c r="AV130" s="209"/>
      <c r="AW130" s="209"/>
      <c r="AX130" s="209"/>
      <c r="AY130" s="209"/>
      <c r="AZ130" s="209"/>
      <c r="BA130" s="209"/>
      <c r="BB130" s="209"/>
      <c r="BC130" s="209"/>
      <c r="BD130" s="209"/>
      <c r="BE130" s="209"/>
      <c r="BF130" s="209"/>
      <c r="BG130" s="209"/>
      <c r="BH130" s="209"/>
      <c r="BI130" s="209"/>
      <c r="BJ130" s="209"/>
      <c r="BK130" s="209"/>
      <c r="BL130" s="209"/>
      <c r="BM130" s="209"/>
      <c r="BN130" s="209"/>
      <c r="BO130" s="209"/>
      <c r="BP130" s="209"/>
      <c r="BQ130" s="209"/>
      <c r="BR130" s="209"/>
      <c r="BS130" s="209"/>
      <c r="BT130" s="209"/>
      <c r="BU130" s="209"/>
      <c r="BV130" s="209"/>
      <c r="BW130" s="209"/>
      <c r="BX130" s="209"/>
      <c r="BY130" s="209"/>
      <c r="BZ130" s="209"/>
      <c r="CA130" s="209"/>
      <c r="CB130" s="209"/>
      <c r="CC130" s="209"/>
      <c r="CD130" s="209"/>
      <c r="CE130" s="209"/>
      <c r="CF130" s="209"/>
      <c r="CG130" s="209"/>
      <c r="CH130" s="209"/>
      <c r="CI130" s="209"/>
      <c r="CJ130" s="209"/>
      <c r="CK130" s="209"/>
      <c r="CL130" s="209"/>
      <c r="CM130" s="209"/>
      <c r="CN130" s="209"/>
      <c r="CO130" s="209"/>
      <c r="CP130" s="209"/>
      <c r="CQ130" s="209"/>
      <c r="CR130" s="209"/>
      <c r="CS130" s="209"/>
      <c r="CT130" s="209"/>
      <c r="CU130" s="209"/>
    </row>
    <row r="131" spans="1:99" ht="60" customHeight="1">
      <c r="A131" s="464"/>
      <c r="B131" s="405"/>
      <c r="C131" s="268" t="s">
        <v>401</v>
      </c>
      <c r="D131" s="261" t="s">
        <v>402</v>
      </c>
      <c r="E131" s="261" t="s">
        <v>403</v>
      </c>
      <c r="F131" s="261" t="s">
        <v>98</v>
      </c>
      <c r="G131" s="261" t="s">
        <v>98</v>
      </c>
      <c r="H131" s="245" t="s">
        <v>27</v>
      </c>
      <c r="I131" s="245" t="s">
        <v>27</v>
      </c>
      <c r="J131" s="261" t="s">
        <v>401</v>
      </c>
      <c r="K131" s="261" t="s">
        <v>402</v>
      </c>
      <c r="L131" s="245" t="s">
        <v>376</v>
      </c>
      <c r="M131" s="264" t="s">
        <v>98</v>
      </c>
      <c r="N131" s="247" t="s">
        <v>404</v>
      </c>
      <c r="O131" s="238"/>
      <c r="P131" s="238"/>
      <c r="Q131" s="238"/>
      <c r="R131" s="238"/>
      <c r="S131" s="239"/>
      <c r="T131" s="239"/>
      <c r="U131" s="209"/>
      <c r="V131" s="240"/>
      <c r="W131" s="240"/>
      <c r="X131" s="241"/>
      <c r="Y131" s="240"/>
      <c r="Z131" s="240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09"/>
      <c r="AP131" s="209"/>
      <c r="AQ131" s="209"/>
      <c r="AR131" s="209"/>
      <c r="AS131" s="209"/>
      <c r="AT131" s="209"/>
      <c r="AU131" s="209"/>
      <c r="AV131" s="209"/>
      <c r="AW131" s="209"/>
      <c r="AX131" s="209"/>
      <c r="AY131" s="209"/>
      <c r="AZ131" s="209"/>
      <c r="BA131" s="209"/>
      <c r="BB131" s="209"/>
      <c r="BC131" s="209"/>
      <c r="BD131" s="209"/>
      <c r="BE131" s="209"/>
      <c r="BF131" s="209"/>
      <c r="BG131" s="209"/>
      <c r="BH131" s="209"/>
      <c r="BI131" s="209"/>
      <c r="BJ131" s="209"/>
      <c r="BK131" s="209"/>
      <c r="BL131" s="209"/>
      <c r="BM131" s="209"/>
      <c r="BN131" s="209"/>
      <c r="BO131" s="209"/>
      <c r="BP131" s="209"/>
      <c r="BQ131" s="209"/>
      <c r="BR131" s="209"/>
      <c r="BS131" s="209"/>
      <c r="BT131" s="209"/>
      <c r="BU131" s="209"/>
      <c r="BV131" s="209"/>
      <c r="BW131" s="209"/>
      <c r="BX131" s="209"/>
      <c r="BY131" s="209"/>
      <c r="BZ131" s="209"/>
      <c r="CA131" s="209"/>
      <c r="CB131" s="209"/>
      <c r="CC131" s="209"/>
      <c r="CD131" s="209"/>
      <c r="CE131" s="209"/>
      <c r="CF131" s="209"/>
      <c r="CG131" s="209"/>
      <c r="CH131" s="209"/>
      <c r="CI131" s="209"/>
      <c r="CJ131" s="209"/>
      <c r="CK131" s="209"/>
      <c r="CL131" s="209"/>
      <c r="CM131" s="209"/>
      <c r="CN131" s="209"/>
      <c r="CO131" s="209"/>
      <c r="CP131" s="209"/>
      <c r="CQ131" s="209"/>
      <c r="CR131" s="209"/>
      <c r="CS131" s="209"/>
      <c r="CT131" s="209"/>
      <c r="CU131" s="209"/>
    </row>
    <row r="132" spans="1:99" ht="70.5" customHeight="1">
      <c r="A132" s="471"/>
      <c r="B132" s="457"/>
      <c r="C132" s="266" t="s">
        <v>405</v>
      </c>
      <c r="D132" s="262" t="s">
        <v>406</v>
      </c>
      <c r="E132" s="262" t="s">
        <v>407</v>
      </c>
      <c r="F132" s="246" t="s">
        <v>27</v>
      </c>
      <c r="G132" s="262" t="s">
        <v>98</v>
      </c>
      <c r="H132" s="246" t="s">
        <v>27</v>
      </c>
      <c r="I132" s="246" t="s">
        <v>27</v>
      </c>
      <c r="J132" s="262" t="s">
        <v>408</v>
      </c>
      <c r="K132" s="246" t="s">
        <v>409</v>
      </c>
      <c r="L132" s="246" t="s">
        <v>369</v>
      </c>
      <c r="M132" s="270" t="s">
        <v>27</v>
      </c>
      <c r="N132" s="250" t="s">
        <v>410</v>
      </c>
      <c r="O132" s="239"/>
      <c r="P132" s="239"/>
      <c r="Q132" s="239"/>
      <c r="R132" s="239"/>
      <c r="S132" s="239"/>
      <c r="T132" s="239"/>
      <c r="U132" s="209"/>
      <c r="V132" s="240"/>
      <c r="W132" s="240"/>
      <c r="X132" s="241"/>
      <c r="Y132" s="240"/>
      <c r="Z132" s="240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  <c r="AT132" s="209"/>
      <c r="AU132" s="209"/>
      <c r="AV132" s="209"/>
      <c r="AW132" s="209"/>
      <c r="AX132" s="209"/>
      <c r="AY132" s="209"/>
      <c r="AZ132" s="209"/>
      <c r="BA132" s="209"/>
      <c r="BB132" s="209"/>
      <c r="BC132" s="209"/>
      <c r="BD132" s="209"/>
      <c r="BE132" s="209"/>
      <c r="BF132" s="209"/>
      <c r="BG132" s="209"/>
      <c r="BH132" s="209"/>
      <c r="BI132" s="209"/>
      <c r="BJ132" s="209"/>
      <c r="BK132" s="209"/>
      <c r="BL132" s="209"/>
      <c r="BM132" s="209"/>
      <c r="BN132" s="209"/>
      <c r="BO132" s="209"/>
      <c r="BP132" s="209"/>
      <c r="BQ132" s="209"/>
      <c r="BR132" s="209"/>
      <c r="BS132" s="209"/>
      <c r="BT132" s="209"/>
      <c r="BU132" s="209"/>
      <c r="BV132" s="209"/>
      <c r="BW132" s="209"/>
      <c r="BX132" s="209"/>
      <c r="BY132" s="209"/>
      <c r="BZ132" s="209"/>
      <c r="CA132" s="209"/>
      <c r="CB132" s="209"/>
      <c r="CC132" s="209"/>
      <c r="CD132" s="209"/>
      <c r="CE132" s="209"/>
      <c r="CF132" s="209"/>
      <c r="CG132" s="209"/>
      <c r="CH132" s="209"/>
      <c r="CI132" s="209"/>
      <c r="CJ132" s="209"/>
      <c r="CK132" s="209"/>
      <c r="CL132" s="209"/>
      <c r="CM132" s="209"/>
      <c r="CN132" s="209"/>
      <c r="CO132" s="209"/>
      <c r="CP132" s="209"/>
      <c r="CQ132" s="209"/>
      <c r="CR132" s="209"/>
      <c r="CS132" s="209"/>
      <c r="CT132" s="209"/>
      <c r="CU132" s="209"/>
    </row>
    <row r="133" spans="1:99" ht="152.25" customHeight="1">
      <c r="A133" s="463" t="s">
        <v>411</v>
      </c>
      <c r="B133" s="458" t="s">
        <v>412</v>
      </c>
      <c r="C133" s="52" t="s">
        <v>413</v>
      </c>
      <c r="D133" s="256" t="s">
        <v>414</v>
      </c>
      <c r="E133" s="256" t="s">
        <v>394</v>
      </c>
      <c r="F133" s="260" t="s">
        <v>27</v>
      </c>
      <c r="G133" s="256" t="s">
        <v>98</v>
      </c>
      <c r="H133" s="260" t="s">
        <v>27</v>
      </c>
      <c r="I133" s="260" t="s">
        <v>27</v>
      </c>
      <c r="J133" s="260" t="s">
        <v>414</v>
      </c>
      <c r="K133" s="260" t="s">
        <v>415</v>
      </c>
      <c r="L133" s="260" t="s">
        <v>369</v>
      </c>
      <c r="M133" s="218" t="s">
        <v>151</v>
      </c>
      <c r="N133" s="250" t="s">
        <v>416</v>
      </c>
      <c r="O133" s="239"/>
      <c r="P133" s="239"/>
      <c r="Q133" s="239"/>
      <c r="R133" s="239"/>
      <c r="S133" s="239"/>
      <c r="T133" s="239"/>
      <c r="U133" s="209"/>
      <c r="V133" s="240"/>
      <c r="W133" s="240"/>
      <c r="X133" s="241"/>
      <c r="Y133" s="240"/>
      <c r="Z133" s="240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09"/>
      <c r="AP133" s="209"/>
      <c r="AQ133" s="209"/>
      <c r="AR133" s="209"/>
      <c r="AS133" s="209"/>
      <c r="AT133" s="209"/>
      <c r="AU133" s="209"/>
      <c r="AV133" s="209"/>
      <c r="AW133" s="209"/>
      <c r="AX133" s="209"/>
      <c r="AY133" s="209"/>
      <c r="AZ133" s="209"/>
      <c r="BA133" s="209"/>
      <c r="BB133" s="209"/>
      <c r="BC133" s="209"/>
      <c r="BD133" s="209"/>
      <c r="BE133" s="209"/>
      <c r="BF133" s="209"/>
      <c r="BG133" s="209"/>
      <c r="BH133" s="209"/>
      <c r="BI133" s="209"/>
      <c r="BJ133" s="209"/>
      <c r="BK133" s="209"/>
      <c r="BL133" s="209"/>
      <c r="BM133" s="209"/>
      <c r="BN133" s="209"/>
      <c r="BO133" s="209"/>
      <c r="BP133" s="209"/>
      <c r="BQ133" s="209"/>
      <c r="BR133" s="209"/>
      <c r="BS133" s="209"/>
      <c r="BT133" s="209"/>
      <c r="BU133" s="209"/>
      <c r="BV133" s="209"/>
      <c r="BW133" s="209"/>
      <c r="BX133" s="209"/>
      <c r="BY133" s="209"/>
      <c r="BZ133" s="209"/>
      <c r="CA133" s="209"/>
      <c r="CB133" s="209"/>
      <c r="CC133" s="209"/>
      <c r="CD133" s="209"/>
      <c r="CE133" s="209"/>
      <c r="CF133" s="209"/>
      <c r="CG133" s="209"/>
      <c r="CH133" s="209"/>
      <c r="CI133" s="209"/>
      <c r="CJ133" s="209"/>
      <c r="CK133" s="209"/>
      <c r="CL133" s="209"/>
      <c r="CM133" s="209"/>
      <c r="CN133" s="209"/>
      <c r="CO133" s="209"/>
      <c r="CP133" s="209"/>
      <c r="CQ133" s="209"/>
      <c r="CR133" s="209"/>
      <c r="CS133" s="209"/>
      <c r="CT133" s="209"/>
      <c r="CU133" s="209"/>
    </row>
    <row r="134" spans="1:99" ht="69" customHeight="1">
      <c r="A134" s="464"/>
      <c r="B134" s="405"/>
      <c r="C134" s="268" t="s">
        <v>417</v>
      </c>
      <c r="D134" s="261" t="s">
        <v>418</v>
      </c>
      <c r="E134" s="261" t="s">
        <v>419</v>
      </c>
      <c r="F134" s="245" t="s">
        <v>27</v>
      </c>
      <c r="G134" s="261" t="s">
        <v>98</v>
      </c>
      <c r="H134" s="245" t="s">
        <v>27</v>
      </c>
      <c r="I134" s="245" t="s">
        <v>27</v>
      </c>
      <c r="J134" s="245" t="s">
        <v>418</v>
      </c>
      <c r="K134" s="245" t="s">
        <v>420</v>
      </c>
      <c r="L134" s="245" t="s">
        <v>376</v>
      </c>
      <c r="M134" s="269" t="s">
        <v>151</v>
      </c>
      <c r="N134" s="250" t="s">
        <v>421</v>
      </c>
      <c r="O134" s="239"/>
      <c r="P134" s="239"/>
      <c r="Q134" s="239"/>
      <c r="R134" s="239"/>
      <c r="S134" s="239"/>
      <c r="T134" s="239"/>
      <c r="U134" s="209"/>
      <c r="V134" s="240"/>
      <c r="W134" s="240"/>
      <c r="X134" s="241"/>
      <c r="Y134" s="240"/>
      <c r="Z134" s="240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  <c r="AQ134" s="209"/>
      <c r="AR134" s="209"/>
      <c r="AS134" s="209"/>
      <c r="AT134" s="209"/>
      <c r="AU134" s="209"/>
      <c r="AV134" s="209"/>
      <c r="AW134" s="209"/>
      <c r="AX134" s="209"/>
      <c r="AY134" s="209"/>
      <c r="AZ134" s="209"/>
      <c r="BA134" s="209"/>
      <c r="BB134" s="209"/>
      <c r="BC134" s="209"/>
      <c r="BD134" s="209"/>
      <c r="BE134" s="209"/>
      <c r="BF134" s="209"/>
      <c r="BG134" s="209"/>
      <c r="BH134" s="209"/>
      <c r="BI134" s="209"/>
      <c r="BJ134" s="209"/>
      <c r="BK134" s="209"/>
      <c r="BL134" s="209"/>
      <c r="BM134" s="209"/>
      <c r="BN134" s="209"/>
      <c r="BO134" s="209"/>
      <c r="BP134" s="209"/>
      <c r="BQ134" s="209"/>
      <c r="BR134" s="209"/>
      <c r="BS134" s="209"/>
      <c r="BT134" s="209"/>
      <c r="BU134" s="209"/>
      <c r="BV134" s="209"/>
      <c r="BW134" s="209"/>
      <c r="BX134" s="209"/>
      <c r="BY134" s="209"/>
      <c r="BZ134" s="209"/>
      <c r="CA134" s="209"/>
      <c r="CB134" s="209"/>
      <c r="CC134" s="209"/>
      <c r="CD134" s="209"/>
      <c r="CE134" s="209"/>
      <c r="CF134" s="209"/>
      <c r="CG134" s="209"/>
      <c r="CH134" s="209"/>
      <c r="CI134" s="209"/>
      <c r="CJ134" s="209"/>
      <c r="CK134" s="209"/>
      <c r="CL134" s="209"/>
      <c r="CM134" s="209"/>
      <c r="CN134" s="209"/>
      <c r="CO134" s="209"/>
      <c r="CP134" s="209"/>
      <c r="CQ134" s="209"/>
      <c r="CR134" s="209"/>
      <c r="CS134" s="209"/>
      <c r="CT134" s="209"/>
      <c r="CU134" s="209"/>
    </row>
    <row r="135" spans="1:99" ht="93.75" customHeight="1">
      <c r="A135" s="464"/>
      <c r="B135" s="405"/>
      <c r="C135" s="268" t="s">
        <v>422</v>
      </c>
      <c r="D135" s="261" t="s">
        <v>423</v>
      </c>
      <c r="E135" s="261" t="s">
        <v>424</v>
      </c>
      <c r="F135" s="245" t="s">
        <v>27</v>
      </c>
      <c r="G135" s="261" t="s">
        <v>98</v>
      </c>
      <c r="H135" s="245" t="s">
        <v>27</v>
      </c>
      <c r="I135" s="245" t="s">
        <v>27</v>
      </c>
      <c r="J135" s="245" t="s">
        <v>423</v>
      </c>
      <c r="K135" s="245" t="s">
        <v>425</v>
      </c>
      <c r="L135" s="245" t="s">
        <v>426</v>
      </c>
      <c r="M135" s="269" t="s">
        <v>151</v>
      </c>
      <c r="N135" s="250" t="s">
        <v>427</v>
      </c>
      <c r="O135" s="239"/>
      <c r="P135" s="239"/>
      <c r="Q135" s="239"/>
      <c r="R135" s="239"/>
      <c r="S135" s="239"/>
      <c r="T135" s="239"/>
      <c r="U135" s="209"/>
      <c r="V135" s="240"/>
      <c r="W135" s="240"/>
      <c r="X135" s="241"/>
      <c r="Y135" s="240"/>
      <c r="Z135" s="240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  <c r="AX135" s="209"/>
      <c r="AY135" s="209"/>
      <c r="AZ135" s="209"/>
      <c r="BA135" s="209"/>
      <c r="BB135" s="209"/>
      <c r="BC135" s="209"/>
      <c r="BD135" s="209"/>
      <c r="BE135" s="209"/>
      <c r="BF135" s="209"/>
      <c r="BG135" s="209"/>
      <c r="BH135" s="209"/>
      <c r="BI135" s="209"/>
      <c r="BJ135" s="209"/>
      <c r="BK135" s="209"/>
      <c r="BL135" s="209"/>
      <c r="BM135" s="209"/>
      <c r="BN135" s="209"/>
      <c r="BO135" s="209"/>
      <c r="BP135" s="209"/>
      <c r="BQ135" s="209"/>
      <c r="BR135" s="209"/>
      <c r="BS135" s="209"/>
      <c r="BT135" s="209"/>
      <c r="BU135" s="209"/>
      <c r="BV135" s="209"/>
      <c r="BW135" s="209"/>
      <c r="BX135" s="209"/>
      <c r="BY135" s="209"/>
      <c r="BZ135" s="209"/>
      <c r="CA135" s="209"/>
      <c r="CB135" s="209"/>
      <c r="CC135" s="209"/>
      <c r="CD135" s="209"/>
      <c r="CE135" s="209"/>
      <c r="CF135" s="209"/>
      <c r="CG135" s="209"/>
      <c r="CH135" s="209"/>
      <c r="CI135" s="209"/>
      <c r="CJ135" s="209"/>
      <c r="CK135" s="209"/>
      <c r="CL135" s="209"/>
      <c r="CM135" s="209"/>
      <c r="CN135" s="209"/>
      <c r="CO135" s="209"/>
      <c r="CP135" s="209"/>
      <c r="CQ135" s="209"/>
      <c r="CR135" s="209"/>
      <c r="CS135" s="209"/>
      <c r="CT135" s="209"/>
      <c r="CU135" s="209"/>
    </row>
    <row r="136" spans="1:99" ht="102" customHeight="1">
      <c r="A136" s="464"/>
      <c r="B136" s="457"/>
      <c r="C136" s="266" t="s">
        <v>428</v>
      </c>
      <c r="D136" s="262" t="s">
        <v>429</v>
      </c>
      <c r="E136" s="262" t="s">
        <v>430</v>
      </c>
      <c r="F136" s="246" t="s">
        <v>27</v>
      </c>
      <c r="G136" s="262" t="s">
        <v>98</v>
      </c>
      <c r="H136" s="246" t="s">
        <v>27</v>
      </c>
      <c r="I136" s="246" t="s">
        <v>27</v>
      </c>
      <c r="J136" s="246" t="s">
        <v>429</v>
      </c>
      <c r="K136" s="246" t="s">
        <v>431</v>
      </c>
      <c r="L136" s="246" t="s">
        <v>432</v>
      </c>
      <c r="M136" s="270" t="s">
        <v>1</v>
      </c>
      <c r="N136" s="250" t="s">
        <v>433</v>
      </c>
      <c r="O136" s="239"/>
      <c r="P136" s="239"/>
      <c r="Q136" s="239"/>
      <c r="R136" s="239"/>
      <c r="S136" s="239"/>
      <c r="T136" s="239"/>
      <c r="U136" s="209"/>
      <c r="V136" s="240"/>
      <c r="W136" s="240"/>
      <c r="X136" s="241"/>
      <c r="Y136" s="240"/>
      <c r="Z136" s="240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  <c r="AQ136" s="209"/>
      <c r="AR136" s="209"/>
      <c r="AS136" s="209"/>
      <c r="AT136" s="209"/>
      <c r="AU136" s="209"/>
      <c r="AV136" s="209"/>
      <c r="AW136" s="209"/>
      <c r="AX136" s="209"/>
      <c r="AY136" s="209"/>
      <c r="AZ136" s="209"/>
      <c r="BA136" s="209"/>
      <c r="BB136" s="209"/>
      <c r="BC136" s="209"/>
      <c r="BD136" s="209"/>
      <c r="BE136" s="209"/>
      <c r="BF136" s="209"/>
      <c r="BG136" s="209"/>
      <c r="BH136" s="209"/>
      <c r="BI136" s="209"/>
      <c r="BJ136" s="209"/>
      <c r="BK136" s="209"/>
      <c r="BL136" s="209"/>
      <c r="BM136" s="209"/>
      <c r="BN136" s="209"/>
      <c r="BO136" s="209"/>
      <c r="BP136" s="209"/>
      <c r="BQ136" s="209"/>
      <c r="BR136" s="209"/>
      <c r="BS136" s="209"/>
      <c r="BT136" s="209"/>
      <c r="BU136" s="209"/>
      <c r="BV136" s="209"/>
      <c r="BW136" s="209"/>
      <c r="BX136" s="209"/>
      <c r="BY136" s="209"/>
      <c r="BZ136" s="209"/>
      <c r="CA136" s="209"/>
      <c r="CB136" s="209"/>
      <c r="CC136" s="209"/>
      <c r="CD136" s="209"/>
      <c r="CE136" s="209"/>
      <c r="CF136" s="209"/>
      <c r="CG136" s="209"/>
      <c r="CH136" s="209"/>
      <c r="CI136" s="209"/>
      <c r="CJ136" s="209"/>
      <c r="CK136" s="209"/>
      <c r="CL136" s="209"/>
      <c r="CM136" s="209"/>
      <c r="CN136" s="209"/>
      <c r="CO136" s="209"/>
      <c r="CP136" s="209"/>
      <c r="CQ136" s="209"/>
      <c r="CR136" s="209"/>
      <c r="CS136" s="209"/>
      <c r="CT136" s="209"/>
      <c r="CU136" s="209"/>
    </row>
    <row r="137" spans="1:99" ht="105" customHeight="1">
      <c r="A137" s="464"/>
      <c r="B137" s="404" t="s">
        <v>434</v>
      </c>
      <c r="C137" s="52" t="s">
        <v>435</v>
      </c>
      <c r="D137" s="256" t="s">
        <v>436</v>
      </c>
      <c r="E137" s="256" t="s">
        <v>437</v>
      </c>
      <c r="F137" s="260" t="s">
        <v>27</v>
      </c>
      <c r="G137" s="256" t="s">
        <v>98</v>
      </c>
      <c r="H137" s="260" t="s">
        <v>27</v>
      </c>
      <c r="I137" s="260" t="s">
        <v>27</v>
      </c>
      <c r="J137" s="260" t="s">
        <v>436</v>
      </c>
      <c r="K137" s="260" t="s">
        <v>438</v>
      </c>
      <c r="L137" s="260" t="s">
        <v>432</v>
      </c>
      <c r="M137" s="218" t="s">
        <v>8</v>
      </c>
      <c r="N137" s="250" t="s">
        <v>439</v>
      </c>
      <c r="O137" s="239"/>
      <c r="P137" s="239"/>
      <c r="Q137" s="239"/>
      <c r="R137" s="239"/>
      <c r="S137" s="239"/>
      <c r="T137" s="239"/>
      <c r="U137" s="209"/>
      <c r="V137" s="240"/>
      <c r="W137" s="240"/>
      <c r="X137" s="241"/>
      <c r="Y137" s="240"/>
      <c r="Z137" s="240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09"/>
      <c r="AP137" s="209"/>
      <c r="AQ137" s="209"/>
      <c r="AR137" s="209"/>
      <c r="AS137" s="209"/>
      <c r="AT137" s="209"/>
      <c r="AU137" s="209"/>
      <c r="AV137" s="209"/>
      <c r="AW137" s="209"/>
      <c r="AX137" s="209"/>
      <c r="AY137" s="209"/>
      <c r="AZ137" s="209"/>
      <c r="BA137" s="209"/>
      <c r="BB137" s="209"/>
      <c r="BC137" s="209"/>
      <c r="BD137" s="209"/>
      <c r="BE137" s="209"/>
      <c r="BF137" s="209"/>
      <c r="BG137" s="209"/>
      <c r="BH137" s="209"/>
      <c r="BI137" s="209"/>
      <c r="BJ137" s="209"/>
      <c r="BK137" s="209"/>
      <c r="BL137" s="209"/>
      <c r="BM137" s="209"/>
      <c r="BN137" s="209"/>
      <c r="BO137" s="209"/>
      <c r="BP137" s="209"/>
      <c r="BQ137" s="209"/>
      <c r="BR137" s="209"/>
      <c r="BS137" s="209"/>
      <c r="BT137" s="209"/>
      <c r="BU137" s="209"/>
      <c r="BV137" s="209"/>
      <c r="BW137" s="209"/>
      <c r="BX137" s="209"/>
      <c r="BY137" s="209"/>
      <c r="BZ137" s="209"/>
      <c r="CA137" s="209"/>
      <c r="CB137" s="209"/>
      <c r="CC137" s="209"/>
      <c r="CD137" s="209"/>
      <c r="CE137" s="209"/>
      <c r="CF137" s="209"/>
      <c r="CG137" s="209"/>
      <c r="CH137" s="209"/>
      <c r="CI137" s="209"/>
      <c r="CJ137" s="209"/>
      <c r="CK137" s="209"/>
      <c r="CL137" s="209"/>
      <c r="CM137" s="209"/>
      <c r="CN137" s="209"/>
      <c r="CO137" s="209"/>
      <c r="CP137" s="209"/>
      <c r="CQ137" s="209"/>
      <c r="CR137" s="209"/>
      <c r="CS137" s="209"/>
      <c r="CT137" s="209"/>
      <c r="CU137" s="209"/>
    </row>
    <row r="138" spans="1:99" ht="97.5" customHeight="1">
      <c r="A138" s="465"/>
      <c r="B138" s="467"/>
      <c r="C138" s="268" t="s">
        <v>440</v>
      </c>
      <c r="D138" s="261" t="s">
        <v>441</v>
      </c>
      <c r="E138" s="261" t="s">
        <v>442</v>
      </c>
      <c r="F138" s="245" t="s">
        <v>27</v>
      </c>
      <c r="G138" s="261" t="s">
        <v>98</v>
      </c>
      <c r="H138" s="245" t="s">
        <v>27</v>
      </c>
      <c r="I138" s="245" t="s">
        <v>27</v>
      </c>
      <c r="J138" s="245" t="s">
        <v>441</v>
      </c>
      <c r="K138" s="245" t="s">
        <v>438</v>
      </c>
      <c r="L138" s="245" t="s">
        <v>443</v>
      </c>
      <c r="M138" s="269" t="s">
        <v>151</v>
      </c>
      <c r="N138" s="250" t="s">
        <v>444</v>
      </c>
      <c r="O138" s="239"/>
      <c r="P138" s="239"/>
      <c r="Q138" s="239"/>
      <c r="R138" s="239"/>
      <c r="S138" s="239"/>
      <c r="T138" s="239"/>
      <c r="U138" s="209"/>
      <c r="V138" s="240"/>
      <c r="W138" s="240"/>
      <c r="X138" s="241"/>
      <c r="Y138" s="240"/>
      <c r="Z138" s="240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  <c r="AQ138" s="209"/>
      <c r="AR138" s="209"/>
      <c r="AS138" s="209"/>
      <c r="AT138" s="209"/>
      <c r="AU138" s="209"/>
      <c r="AV138" s="209"/>
      <c r="AW138" s="209"/>
      <c r="AX138" s="209"/>
      <c r="AY138" s="209"/>
      <c r="AZ138" s="209"/>
      <c r="BA138" s="209"/>
      <c r="BB138" s="209"/>
      <c r="BC138" s="209"/>
      <c r="BD138" s="209"/>
      <c r="BE138" s="209"/>
      <c r="BF138" s="209"/>
      <c r="BG138" s="209"/>
      <c r="BH138" s="209"/>
      <c r="BI138" s="209"/>
      <c r="BJ138" s="209"/>
      <c r="BK138" s="209"/>
      <c r="BL138" s="209"/>
      <c r="BM138" s="209"/>
      <c r="BN138" s="209"/>
      <c r="BO138" s="209"/>
      <c r="BP138" s="209"/>
      <c r="BQ138" s="209"/>
      <c r="BR138" s="209"/>
      <c r="BS138" s="209"/>
      <c r="BT138" s="209"/>
      <c r="BU138" s="209"/>
      <c r="BV138" s="209"/>
      <c r="BW138" s="209"/>
      <c r="BX138" s="209"/>
      <c r="BY138" s="209"/>
      <c r="BZ138" s="209"/>
      <c r="CA138" s="209"/>
      <c r="CB138" s="209"/>
      <c r="CC138" s="209"/>
      <c r="CD138" s="209"/>
      <c r="CE138" s="209"/>
      <c r="CF138" s="209"/>
      <c r="CG138" s="209"/>
      <c r="CH138" s="209"/>
      <c r="CI138" s="209"/>
      <c r="CJ138" s="209"/>
      <c r="CK138" s="209"/>
      <c r="CL138" s="209"/>
      <c r="CM138" s="209"/>
      <c r="CN138" s="209"/>
      <c r="CO138" s="209"/>
      <c r="CP138" s="209"/>
      <c r="CQ138" s="209"/>
      <c r="CR138" s="209"/>
      <c r="CS138" s="209"/>
      <c r="CT138" s="209"/>
      <c r="CU138" s="209"/>
    </row>
    <row r="139" spans="1:99" ht="97.5" customHeight="1">
      <c r="A139" s="465"/>
      <c r="B139" s="467"/>
      <c r="C139" s="268" t="s">
        <v>445</v>
      </c>
      <c r="D139" s="261" t="s">
        <v>446</v>
      </c>
      <c r="E139" s="261" t="s">
        <v>447</v>
      </c>
      <c r="F139" s="245" t="s">
        <v>27</v>
      </c>
      <c r="G139" s="261" t="s">
        <v>98</v>
      </c>
      <c r="H139" s="245" t="s">
        <v>27</v>
      </c>
      <c r="I139" s="245" t="s">
        <v>27</v>
      </c>
      <c r="J139" s="245" t="s">
        <v>446</v>
      </c>
      <c r="K139" s="261" t="s">
        <v>447</v>
      </c>
      <c r="L139" s="245" t="s">
        <v>443</v>
      </c>
      <c r="M139" s="269" t="s">
        <v>151</v>
      </c>
      <c r="N139" s="250" t="s">
        <v>448</v>
      </c>
      <c r="O139" s="239"/>
      <c r="P139" s="239"/>
      <c r="Q139" s="239"/>
      <c r="R139" s="239"/>
      <c r="S139" s="239"/>
      <c r="T139" s="239"/>
      <c r="U139" s="209"/>
      <c r="V139" s="240"/>
      <c r="W139" s="240"/>
      <c r="X139" s="241"/>
      <c r="Y139" s="240"/>
      <c r="Z139" s="240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09"/>
      <c r="AP139" s="209"/>
      <c r="AQ139" s="209"/>
      <c r="AR139" s="209"/>
      <c r="AS139" s="209"/>
      <c r="AT139" s="209"/>
      <c r="AU139" s="209"/>
      <c r="AV139" s="209"/>
      <c r="AW139" s="209"/>
      <c r="AX139" s="209"/>
      <c r="AY139" s="209"/>
      <c r="AZ139" s="209"/>
      <c r="BA139" s="209"/>
      <c r="BB139" s="209"/>
      <c r="BC139" s="209"/>
      <c r="BD139" s="209"/>
      <c r="BE139" s="209"/>
      <c r="BF139" s="209"/>
      <c r="BG139" s="209"/>
      <c r="BH139" s="209"/>
      <c r="BI139" s="209"/>
      <c r="BJ139" s="209"/>
      <c r="BK139" s="209"/>
      <c r="BL139" s="209"/>
      <c r="BM139" s="209"/>
      <c r="BN139" s="209"/>
      <c r="BO139" s="209"/>
      <c r="BP139" s="209"/>
      <c r="BQ139" s="209"/>
      <c r="BR139" s="209"/>
      <c r="BS139" s="209"/>
      <c r="BT139" s="209"/>
      <c r="BU139" s="209"/>
      <c r="BV139" s="209"/>
      <c r="BW139" s="209"/>
      <c r="BX139" s="209"/>
      <c r="BY139" s="209"/>
      <c r="BZ139" s="209"/>
      <c r="CA139" s="209"/>
      <c r="CB139" s="209"/>
      <c r="CC139" s="209"/>
      <c r="CD139" s="209"/>
      <c r="CE139" s="209"/>
      <c r="CF139" s="209"/>
      <c r="CG139" s="209"/>
      <c r="CH139" s="209"/>
      <c r="CI139" s="209"/>
      <c r="CJ139" s="209"/>
      <c r="CK139" s="209"/>
      <c r="CL139" s="209"/>
      <c r="CM139" s="209"/>
      <c r="CN139" s="209"/>
      <c r="CO139" s="209"/>
      <c r="CP139" s="209"/>
      <c r="CQ139" s="209"/>
      <c r="CR139" s="209"/>
      <c r="CS139" s="209"/>
      <c r="CT139" s="209"/>
      <c r="CU139" s="209"/>
    </row>
    <row r="140" spans="1:99" ht="76.5" customHeight="1">
      <c r="A140" s="466"/>
      <c r="B140" s="468"/>
      <c r="C140" s="53" t="s">
        <v>449</v>
      </c>
      <c r="D140" s="246" t="s">
        <v>450</v>
      </c>
      <c r="E140" s="246" t="s">
        <v>451</v>
      </c>
      <c r="F140" s="246" t="s">
        <v>27</v>
      </c>
      <c r="G140" s="246" t="s">
        <v>98</v>
      </c>
      <c r="H140" s="246" t="s">
        <v>27</v>
      </c>
      <c r="I140" s="246" t="s">
        <v>27</v>
      </c>
      <c r="J140" s="246" t="s">
        <v>450</v>
      </c>
      <c r="K140" s="246" t="s">
        <v>452</v>
      </c>
      <c r="L140" s="246" t="s">
        <v>443</v>
      </c>
      <c r="M140" s="270" t="s">
        <v>151</v>
      </c>
      <c r="N140" s="250" t="s">
        <v>453</v>
      </c>
      <c r="O140" s="239"/>
      <c r="P140" s="239"/>
      <c r="Q140" s="239"/>
      <c r="R140" s="239"/>
      <c r="S140" s="239"/>
      <c r="T140" s="239"/>
      <c r="U140" s="209"/>
      <c r="V140" s="240"/>
      <c r="W140" s="240"/>
      <c r="X140" s="241"/>
      <c r="Y140" s="240"/>
      <c r="Z140" s="240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AQ140" s="209"/>
      <c r="AR140" s="209"/>
      <c r="AS140" s="209"/>
      <c r="AT140" s="209"/>
      <c r="AU140" s="209"/>
      <c r="AV140" s="209"/>
      <c r="AW140" s="209"/>
      <c r="AX140" s="209"/>
      <c r="AY140" s="209"/>
      <c r="AZ140" s="209"/>
      <c r="BA140" s="209"/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  <c r="BM140" s="209"/>
      <c r="BN140" s="209"/>
      <c r="BO140" s="209"/>
      <c r="BP140" s="209"/>
      <c r="BQ140" s="209"/>
      <c r="BR140" s="209"/>
      <c r="BS140" s="209"/>
      <c r="BT140" s="209"/>
      <c r="BU140" s="209"/>
      <c r="BV140" s="209"/>
      <c r="BW140" s="209"/>
      <c r="BX140" s="209"/>
      <c r="BY140" s="209"/>
      <c r="BZ140" s="209"/>
      <c r="CA140" s="209"/>
      <c r="CB140" s="209"/>
      <c r="CC140" s="209"/>
      <c r="CD140" s="209"/>
      <c r="CE140" s="209"/>
      <c r="CF140" s="209"/>
      <c r="CG140" s="209"/>
      <c r="CH140" s="209"/>
      <c r="CI140" s="209"/>
      <c r="CJ140" s="209"/>
      <c r="CK140" s="209"/>
      <c r="CL140" s="209"/>
      <c r="CM140" s="209"/>
      <c r="CN140" s="209"/>
      <c r="CO140" s="209"/>
      <c r="CP140" s="209"/>
      <c r="CQ140" s="209"/>
      <c r="CR140" s="209"/>
      <c r="CS140" s="209"/>
      <c r="CT140" s="209"/>
      <c r="CU140" s="209"/>
    </row>
    <row r="141" spans="1:99" ht="50.1" customHeight="1">
      <c r="O141" s="209"/>
      <c r="P141" s="209"/>
      <c r="Q141" s="209"/>
      <c r="R141" s="209"/>
      <c r="S141" s="209"/>
      <c r="T141" s="209"/>
      <c r="U141" s="209"/>
      <c r="V141" s="215"/>
      <c r="W141" s="216"/>
      <c r="X141" s="209"/>
      <c r="Y141" s="209"/>
      <c r="Z141" s="209"/>
      <c r="AA141" s="272"/>
      <c r="AB141" s="272"/>
      <c r="AC141" s="272"/>
      <c r="AD141" s="272"/>
      <c r="AE141" s="272"/>
      <c r="AF141" s="272"/>
      <c r="AG141" s="272"/>
      <c r="AH141" s="272"/>
      <c r="AI141" s="272"/>
      <c r="AJ141" s="272"/>
      <c r="AK141" s="272"/>
      <c r="AL141" s="272"/>
      <c r="AM141" s="272"/>
      <c r="AN141" s="272"/>
      <c r="AO141" s="272"/>
      <c r="AP141" s="272"/>
      <c r="AQ141" s="272"/>
      <c r="AR141" s="272"/>
      <c r="AS141" s="272"/>
      <c r="AT141" s="209"/>
      <c r="AU141" s="209"/>
      <c r="AV141" s="209"/>
      <c r="AW141" s="209"/>
      <c r="AX141" s="209"/>
      <c r="AY141" s="209"/>
      <c r="AZ141" s="209"/>
      <c r="BA141" s="209"/>
      <c r="BB141" s="209"/>
      <c r="BC141" s="209"/>
      <c r="BD141" s="209"/>
      <c r="BE141" s="209"/>
      <c r="BF141" s="209"/>
      <c r="BG141" s="209"/>
      <c r="BH141" s="209"/>
      <c r="BI141" s="209"/>
      <c r="BJ141" s="209"/>
      <c r="BK141" s="209"/>
      <c r="BL141" s="209"/>
      <c r="BM141" s="209"/>
      <c r="BN141" s="209"/>
      <c r="BO141" s="209"/>
      <c r="BP141" s="209"/>
      <c r="BQ141" s="209"/>
      <c r="BR141" s="209"/>
      <c r="BS141" s="209"/>
      <c r="BT141" s="209"/>
      <c r="BU141" s="209"/>
      <c r="BV141" s="209"/>
      <c r="BW141" s="209"/>
      <c r="BX141" s="209"/>
      <c r="BY141" s="209"/>
      <c r="BZ141" s="209"/>
      <c r="CA141" s="209"/>
      <c r="CB141" s="209"/>
      <c r="CC141" s="209"/>
      <c r="CD141" s="209"/>
      <c r="CE141" s="209"/>
      <c r="CF141" s="209"/>
      <c r="CG141" s="209"/>
      <c r="CH141" s="209"/>
      <c r="CI141" s="209"/>
      <c r="CJ141" s="209"/>
      <c r="CK141" s="209"/>
      <c r="CL141" s="209"/>
      <c r="CM141" s="209"/>
      <c r="CN141" s="209"/>
      <c r="CO141" s="209"/>
      <c r="CP141" s="209"/>
      <c r="CQ141" s="209"/>
      <c r="CR141" s="209"/>
      <c r="CS141" s="209"/>
      <c r="CT141" s="209"/>
      <c r="CU141" s="209"/>
    </row>
    <row r="142" spans="1:99" ht="50.1" customHeight="1">
      <c r="O142" s="209"/>
      <c r="P142" s="209"/>
      <c r="Q142" s="209"/>
      <c r="R142" s="209"/>
      <c r="S142" s="209"/>
      <c r="T142" s="209"/>
      <c r="U142" s="209"/>
      <c r="V142" s="216"/>
      <c r="W142" s="209"/>
      <c r="X142" s="209"/>
      <c r="Y142" s="209"/>
      <c r="Z142" s="209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09"/>
      <c r="AU142" s="209"/>
      <c r="AV142" s="209"/>
      <c r="AW142" s="209"/>
      <c r="AX142" s="209"/>
      <c r="AY142" s="209"/>
      <c r="AZ142" s="209"/>
      <c r="BA142" s="209"/>
      <c r="BB142" s="209"/>
      <c r="BC142" s="209"/>
      <c r="BD142" s="209"/>
      <c r="BE142" s="209"/>
      <c r="BF142" s="209"/>
      <c r="BG142" s="209"/>
      <c r="BH142" s="209"/>
      <c r="BI142" s="209"/>
      <c r="BJ142" s="209"/>
      <c r="BK142" s="209"/>
      <c r="BL142" s="209"/>
      <c r="BM142" s="209"/>
      <c r="BN142" s="209"/>
      <c r="BO142" s="209"/>
      <c r="BP142" s="209"/>
      <c r="BQ142" s="209"/>
      <c r="BR142" s="209"/>
      <c r="BS142" s="209"/>
      <c r="BT142" s="209"/>
      <c r="BU142" s="209"/>
      <c r="BV142" s="209"/>
      <c r="BW142" s="209"/>
      <c r="BX142" s="209"/>
      <c r="BY142" s="209"/>
      <c r="BZ142" s="209"/>
      <c r="CA142" s="209"/>
      <c r="CB142" s="209"/>
      <c r="CC142" s="209"/>
      <c r="CD142" s="209"/>
      <c r="CE142" s="209"/>
      <c r="CF142" s="209"/>
      <c r="CG142" s="209"/>
      <c r="CH142" s="209"/>
      <c r="CI142" s="209"/>
      <c r="CJ142" s="209"/>
      <c r="CK142" s="209"/>
      <c r="CL142" s="209"/>
      <c r="CM142" s="209"/>
      <c r="CN142" s="209"/>
      <c r="CO142" s="209"/>
      <c r="CP142" s="209"/>
      <c r="CQ142" s="209"/>
      <c r="CR142" s="209"/>
      <c r="CS142" s="209"/>
      <c r="CT142" s="209"/>
      <c r="CU142" s="209"/>
    </row>
    <row r="143" spans="1:99" ht="50.1" customHeight="1"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9"/>
      <c r="AO143" s="209"/>
      <c r="AP143" s="209"/>
      <c r="AQ143" s="209"/>
      <c r="AR143" s="209"/>
      <c r="AS143" s="209"/>
      <c r="AT143" s="209"/>
      <c r="AU143" s="209"/>
      <c r="AV143" s="209"/>
      <c r="AW143" s="209"/>
      <c r="AX143" s="209"/>
      <c r="AY143" s="209"/>
      <c r="AZ143" s="209"/>
      <c r="BA143" s="209"/>
      <c r="BB143" s="209"/>
      <c r="BC143" s="209"/>
      <c r="BD143" s="209"/>
      <c r="BE143" s="209"/>
      <c r="BF143" s="209"/>
      <c r="BG143" s="209"/>
      <c r="BH143" s="209"/>
      <c r="BI143" s="209"/>
      <c r="BJ143" s="209"/>
      <c r="BK143" s="209"/>
      <c r="BL143" s="209"/>
      <c r="BM143" s="209"/>
      <c r="BN143" s="209"/>
      <c r="BO143" s="209"/>
      <c r="BP143" s="209"/>
      <c r="BQ143" s="209"/>
      <c r="BR143" s="209"/>
      <c r="BS143" s="209"/>
      <c r="BT143" s="209"/>
      <c r="BU143" s="209"/>
      <c r="BV143" s="209"/>
      <c r="BW143" s="209"/>
      <c r="BX143" s="209"/>
      <c r="BY143" s="209"/>
      <c r="BZ143" s="209"/>
      <c r="CA143" s="209"/>
      <c r="CB143" s="209"/>
      <c r="CC143" s="209"/>
      <c r="CD143" s="209"/>
      <c r="CE143" s="209"/>
      <c r="CF143" s="209"/>
      <c r="CG143" s="209"/>
      <c r="CH143" s="209"/>
      <c r="CI143" s="209"/>
      <c r="CJ143" s="209"/>
      <c r="CK143" s="209"/>
      <c r="CL143" s="209"/>
      <c r="CM143" s="209"/>
      <c r="CN143" s="209"/>
      <c r="CO143" s="209"/>
      <c r="CP143" s="209"/>
      <c r="CQ143" s="209"/>
      <c r="CR143" s="209"/>
      <c r="CS143" s="209"/>
      <c r="CT143" s="209"/>
      <c r="CU143" s="209"/>
    </row>
    <row r="144" spans="1:99" ht="50.1" customHeight="1"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9"/>
      <c r="AO144" s="209"/>
      <c r="AP144" s="209"/>
      <c r="AQ144" s="209"/>
      <c r="AR144" s="209"/>
      <c r="AS144" s="209"/>
      <c r="AT144" s="209"/>
      <c r="AU144" s="209"/>
      <c r="AV144" s="209"/>
      <c r="AW144" s="209"/>
      <c r="AX144" s="209"/>
      <c r="AY144" s="209"/>
      <c r="AZ144" s="209"/>
      <c r="BA144" s="209"/>
      <c r="BB144" s="209"/>
      <c r="BC144" s="209"/>
      <c r="BD144" s="209"/>
      <c r="BE144" s="209"/>
      <c r="BF144" s="209"/>
      <c r="BG144" s="209"/>
      <c r="BH144" s="209"/>
      <c r="BI144" s="209"/>
      <c r="BJ144" s="209"/>
      <c r="BK144" s="209"/>
      <c r="BL144" s="209"/>
      <c r="BM144" s="209"/>
      <c r="BN144" s="209"/>
      <c r="BO144" s="209"/>
      <c r="BP144" s="209"/>
      <c r="BQ144" s="209"/>
      <c r="BR144" s="209"/>
      <c r="BS144" s="209"/>
      <c r="BT144" s="209"/>
      <c r="BU144" s="209"/>
      <c r="BV144" s="209"/>
      <c r="BW144" s="209"/>
      <c r="BX144" s="209"/>
      <c r="BY144" s="209"/>
      <c r="BZ144" s="209"/>
      <c r="CA144" s="209"/>
      <c r="CB144" s="209"/>
      <c r="CC144" s="209"/>
      <c r="CD144" s="209"/>
      <c r="CE144" s="209"/>
      <c r="CF144" s="209"/>
      <c r="CG144" s="209"/>
      <c r="CH144" s="209"/>
      <c r="CI144" s="209"/>
      <c r="CJ144" s="209"/>
      <c r="CK144" s="209"/>
      <c r="CL144" s="209"/>
      <c r="CM144" s="209"/>
      <c r="CN144" s="209"/>
      <c r="CO144" s="209"/>
      <c r="CP144" s="209"/>
      <c r="CQ144" s="209"/>
      <c r="CR144" s="209"/>
      <c r="CS144" s="209"/>
      <c r="CT144" s="209"/>
      <c r="CU144" s="209"/>
    </row>
    <row r="145" spans="15:99" ht="50.1" customHeight="1"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09"/>
      <c r="AP145" s="209"/>
      <c r="AQ145" s="209"/>
      <c r="AR145" s="209"/>
      <c r="AS145" s="209"/>
      <c r="AT145" s="209"/>
      <c r="AU145" s="209"/>
      <c r="AV145" s="209"/>
      <c r="AW145" s="209"/>
      <c r="AX145" s="209"/>
      <c r="AY145" s="209"/>
      <c r="AZ145" s="209"/>
      <c r="BA145" s="209"/>
      <c r="BB145" s="209"/>
      <c r="BC145" s="209"/>
      <c r="BD145" s="209"/>
      <c r="BE145" s="209"/>
      <c r="BF145" s="209"/>
      <c r="BG145" s="209"/>
      <c r="BH145" s="209"/>
      <c r="BI145" s="209"/>
      <c r="BJ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  <c r="BT145" s="209"/>
      <c r="BU145" s="209"/>
      <c r="BV145" s="209"/>
      <c r="BW145" s="209"/>
      <c r="BX145" s="209"/>
      <c r="BY145" s="209"/>
      <c r="BZ145" s="209"/>
      <c r="CA145" s="209"/>
      <c r="CB145" s="209"/>
      <c r="CC145" s="209"/>
      <c r="CD145" s="209"/>
      <c r="CE145" s="209"/>
      <c r="CF145" s="209"/>
      <c r="CG145" s="209"/>
      <c r="CH145" s="209"/>
      <c r="CI145" s="209"/>
      <c r="CJ145" s="209"/>
      <c r="CK145" s="209"/>
      <c r="CL145" s="209"/>
      <c r="CM145" s="209"/>
      <c r="CN145" s="209"/>
      <c r="CO145" s="209"/>
      <c r="CP145" s="209"/>
      <c r="CQ145" s="209"/>
      <c r="CR145" s="209"/>
      <c r="CS145" s="209"/>
      <c r="CT145" s="209"/>
      <c r="CU145" s="209"/>
    </row>
    <row r="146" spans="15:99" ht="50.1" customHeight="1"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09"/>
      <c r="AP146" s="209"/>
      <c r="AQ146" s="209"/>
      <c r="AR146" s="209"/>
      <c r="AS146" s="209"/>
      <c r="AT146" s="209"/>
      <c r="AU146" s="209"/>
      <c r="AV146" s="209"/>
      <c r="AW146" s="209"/>
      <c r="AX146" s="209"/>
      <c r="AY146" s="209"/>
      <c r="AZ146" s="209"/>
      <c r="BA146" s="209"/>
      <c r="BB146" s="209"/>
      <c r="BC146" s="209"/>
      <c r="BD146" s="209"/>
      <c r="BE146" s="209"/>
      <c r="BF146" s="209"/>
      <c r="BG146" s="209"/>
      <c r="BH146" s="209"/>
      <c r="BI146" s="209"/>
      <c r="BJ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  <c r="BT146" s="209"/>
      <c r="BU146" s="209"/>
      <c r="BV146" s="209"/>
      <c r="BW146" s="209"/>
      <c r="BX146" s="209"/>
      <c r="BY146" s="209"/>
      <c r="BZ146" s="209"/>
      <c r="CA146" s="209"/>
      <c r="CB146" s="209"/>
      <c r="CC146" s="209"/>
      <c r="CD146" s="209"/>
      <c r="CE146" s="209"/>
      <c r="CF146" s="209"/>
      <c r="CG146" s="209"/>
      <c r="CH146" s="209"/>
      <c r="CI146" s="209"/>
      <c r="CJ146" s="209"/>
      <c r="CK146" s="209"/>
      <c r="CL146" s="209"/>
      <c r="CM146" s="209"/>
      <c r="CN146" s="209"/>
      <c r="CO146" s="209"/>
      <c r="CP146" s="209"/>
      <c r="CQ146" s="209"/>
      <c r="CR146" s="209"/>
      <c r="CS146" s="209"/>
      <c r="CT146" s="209"/>
      <c r="CU146" s="209"/>
    </row>
    <row r="147" spans="15:99" ht="50.1" customHeight="1"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09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09"/>
      <c r="BA147" s="209"/>
      <c r="BB147" s="209"/>
      <c r="BC147" s="209"/>
      <c r="BD147" s="209"/>
      <c r="BE147" s="209"/>
      <c r="BF147" s="209"/>
      <c r="BG147" s="209"/>
      <c r="BH147" s="209"/>
      <c r="BI147" s="209"/>
      <c r="BJ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  <c r="BT147" s="209"/>
      <c r="BU147" s="209"/>
      <c r="BV147" s="209"/>
      <c r="BW147" s="209"/>
      <c r="BX147" s="209"/>
      <c r="BY147" s="209"/>
      <c r="BZ147" s="209"/>
      <c r="CA147" s="209"/>
      <c r="CB147" s="209"/>
      <c r="CC147" s="209"/>
      <c r="CD147" s="209"/>
      <c r="CE147" s="209"/>
      <c r="CF147" s="209"/>
      <c r="CG147" s="209"/>
      <c r="CH147" s="209"/>
      <c r="CI147" s="209"/>
      <c r="CJ147" s="209"/>
      <c r="CK147" s="209"/>
      <c r="CL147" s="209"/>
      <c r="CM147" s="209"/>
      <c r="CN147" s="209"/>
      <c r="CO147" s="209"/>
      <c r="CP147" s="209"/>
      <c r="CQ147" s="209"/>
      <c r="CR147" s="209"/>
      <c r="CS147" s="209"/>
      <c r="CT147" s="209"/>
      <c r="CU147" s="209"/>
    </row>
    <row r="148" spans="15:99" ht="50.1" customHeight="1"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  <c r="AQ148" s="209"/>
      <c r="AR148" s="209"/>
      <c r="AS148" s="209"/>
      <c r="AT148" s="209"/>
      <c r="AU148" s="209"/>
      <c r="AV148" s="209"/>
      <c r="AW148" s="209"/>
      <c r="AX148" s="209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  <c r="BT148" s="209"/>
      <c r="BU148" s="209"/>
      <c r="BV148" s="209"/>
      <c r="BW148" s="209"/>
      <c r="BX148" s="209"/>
      <c r="BY148" s="209"/>
      <c r="BZ148" s="209"/>
      <c r="CA148" s="209"/>
      <c r="CB148" s="209"/>
      <c r="CC148" s="209"/>
      <c r="CD148" s="209"/>
      <c r="CE148" s="209"/>
      <c r="CF148" s="209"/>
      <c r="CG148" s="209"/>
      <c r="CH148" s="209"/>
      <c r="CI148" s="209"/>
      <c r="CJ148" s="209"/>
      <c r="CK148" s="209"/>
      <c r="CL148" s="209"/>
      <c r="CM148" s="209"/>
      <c r="CN148" s="209"/>
      <c r="CO148" s="209"/>
      <c r="CP148" s="209"/>
      <c r="CQ148" s="209"/>
      <c r="CR148" s="209"/>
      <c r="CS148" s="209"/>
      <c r="CT148" s="209"/>
      <c r="CU148" s="209"/>
    </row>
    <row r="149" spans="15:99" ht="50.1" customHeight="1"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  <c r="AQ149" s="209"/>
      <c r="AR149" s="209"/>
      <c r="AS149" s="209"/>
      <c r="AT149" s="209"/>
      <c r="AU149" s="209"/>
      <c r="AV149" s="209"/>
      <c r="AW149" s="209"/>
      <c r="AX149" s="209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09"/>
      <c r="BV149" s="209"/>
      <c r="BW149" s="209"/>
      <c r="BX149" s="209"/>
      <c r="BY149" s="209"/>
      <c r="BZ149" s="209"/>
      <c r="CA149" s="209"/>
      <c r="CB149" s="209"/>
      <c r="CC149" s="209"/>
      <c r="CD149" s="209"/>
      <c r="CE149" s="209"/>
      <c r="CF149" s="209"/>
      <c r="CG149" s="209"/>
      <c r="CH149" s="209"/>
      <c r="CI149" s="209"/>
      <c r="CJ149" s="209"/>
      <c r="CK149" s="209"/>
      <c r="CL149" s="209"/>
      <c r="CM149" s="209"/>
      <c r="CN149" s="209"/>
      <c r="CO149" s="209"/>
      <c r="CP149" s="209"/>
      <c r="CQ149" s="209"/>
      <c r="CR149" s="209"/>
      <c r="CS149" s="209"/>
      <c r="CT149" s="209"/>
      <c r="CU149" s="209"/>
    </row>
    <row r="150" spans="15:99" ht="50.1" customHeight="1"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AQ150" s="209"/>
      <c r="AR150" s="209"/>
      <c r="AS150" s="209"/>
      <c r="AT150" s="209"/>
      <c r="AU150" s="209"/>
      <c r="AV150" s="209"/>
      <c r="AW150" s="209"/>
      <c r="AX150" s="209"/>
      <c r="AY150" s="209"/>
      <c r="AZ150" s="209"/>
      <c r="BA150" s="209"/>
      <c r="BB150" s="209"/>
      <c r="BC150" s="209"/>
      <c r="BD150" s="209"/>
      <c r="BE150" s="209"/>
      <c r="BF150" s="209"/>
      <c r="BG150" s="209"/>
      <c r="BH150" s="209"/>
      <c r="BI150" s="209"/>
      <c r="BJ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  <c r="BT150" s="209"/>
      <c r="BU150" s="209"/>
      <c r="BV150" s="209"/>
      <c r="BW150" s="209"/>
      <c r="BX150" s="209"/>
      <c r="BY150" s="209"/>
      <c r="BZ150" s="209"/>
      <c r="CA150" s="209"/>
      <c r="CB150" s="209"/>
      <c r="CC150" s="209"/>
      <c r="CD150" s="209"/>
      <c r="CE150" s="209"/>
      <c r="CF150" s="209"/>
      <c r="CG150" s="209"/>
      <c r="CH150" s="209"/>
      <c r="CI150" s="209"/>
      <c r="CJ150" s="209"/>
      <c r="CK150" s="209"/>
      <c r="CL150" s="209"/>
      <c r="CM150" s="209"/>
      <c r="CN150" s="209"/>
      <c r="CO150" s="209"/>
      <c r="CP150" s="209"/>
      <c r="CQ150" s="209"/>
      <c r="CR150" s="209"/>
      <c r="CS150" s="209"/>
      <c r="CT150" s="209"/>
      <c r="CU150" s="209"/>
    </row>
    <row r="151" spans="15:99" ht="50.1" customHeight="1"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09"/>
      <c r="AP151" s="209"/>
      <c r="AQ151" s="209"/>
      <c r="AR151" s="209"/>
      <c r="AS151" s="209"/>
      <c r="AT151" s="209"/>
      <c r="AU151" s="209"/>
      <c r="AV151" s="209"/>
      <c r="AW151" s="209"/>
      <c r="AX151" s="209"/>
      <c r="AY151" s="209"/>
      <c r="AZ151" s="209"/>
      <c r="BA151" s="209"/>
      <c r="BB151" s="209"/>
      <c r="BC151" s="209"/>
      <c r="BD151" s="209"/>
      <c r="BE151" s="209"/>
      <c r="BF151" s="209"/>
      <c r="BG151" s="209"/>
      <c r="BH151" s="209"/>
      <c r="BI151" s="209"/>
      <c r="BJ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09"/>
      <c r="BV151" s="209"/>
      <c r="BW151" s="209"/>
      <c r="BX151" s="209"/>
      <c r="BY151" s="209"/>
      <c r="BZ151" s="209"/>
      <c r="CA151" s="209"/>
      <c r="CB151" s="209"/>
      <c r="CC151" s="209"/>
      <c r="CD151" s="209"/>
      <c r="CE151" s="209"/>
      <c r="CF151" s="209"/>
      <c r="CG151" s="209"/>
      <c r="CH151" s="209"/>
      <c r="CI151" s="209"/>
      <c r="CJ151" s="209"/>
      <c r="CK151" s="209"/>
      <c r="CL151" s="209"/>
      <c r="CM151" s="209"/>
      <c r="CN151" s="209"/>
      <c r="CO151" s="209"/>
      <c r="CP151" s="209"/>
      <c r="CQ151" s="209"/>
      <c r="CR151" s="209"/>
      <c r="CS151" s="209"/>
      <c r="CT151" s="209"/>
      <c r="CU151" s="209"/>
    </row>
    <row r="152" spans="15:99" ht="50.1" customHeight="1"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09"/>
      <c r="AP152" s="209"/>
      <c r="AQ152" s="209"/>
      <c r="AR152" s="209"/>
      <c r="AS152" s="209"/>
      <c r="AT152" s="209"/>
      <c r="AU152" s="209"/>
      <c r="AV152" s="209"/>
      <c r="AW152" s="209"/>
      <c r="AX152" s="209"/>
      <c r="AY152" s="209"/>
      <c r="AZ152" s="209"/>
      <c r="BA152" s="209"/>
      <c r="BB152" s="209"/>
      <c r="BC152" s="209"/>
      <c r="BD152" s="209"/>
      <c r="BE152" s="209"/>
      <c r="BF152" s="209"/>
      <c r="BG152" s="209"/>
      <c r="BH152" s="209"/>
      <c r="BI152" s="209"/>
      <c r="BJ152" s="209"/>
      <c r="BK152" s="209"/>
      <c r="BL152" s="209"/>
      <c r="BM152" s="209"/>
      <c r="BN152" s="209"/>
      <c r="BO152" s="209"/>
      <c r="BP152" s="209"/>
      <c r="BQ152" s="209"/>
      <c r="BR152" s="209"/>
      <c r="BS152" s="209"/>
      <c r="BT152" s="209"/>
      <c r="BU152" s="209"/>
      <c r="BV152" s="209"/>
      <c r="BW152" s="209"/>
      <c r="BX152" s="209"/>
      <c r="BY152" s="209"/>
      <c r="BZ152" s="209"/>
      <c r="CA152" s="209"/>
      <c r="CB152" s="209"/>
      <c r="CC152" s="209"/>
      <c r="CD152" s="209"/>
      <c r="CE152" s="209"/>
      <c r="CF152" s="209"/>
      <c r="CG152" s="209"/>
      <c r="CH152" s="209"/>
      <c r="CI152" s="209"/>
      <c r="CJ152" s="209"/>
      <c r="CK152" s="209"/>
      <c r="CL152" s="209"/>
      <c r="CM152" s="209"/>
      <c r="CN152" s="209"/>
      <c r="CO152" s="209"/>
      <c r="CP152" s="209"/>
      <c r="CQ152" s="209"/>
      <c r="CR152" s="209"/>
      <c r="CS152" s="209"/>
      <c r="CT152" s="209"/>
      <c r="CU152" s="209"/>
    </row>
    <row r="153" spans="15:99" ht="50.1" customHeight="1"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  <c r="AQ153" s="209"/>
      <c r="AR153" s="209"/>
      <c r="AS153" s="209"/>
      <c r="AT153" s="209"/>
      <c r="AU153" s="209"/>
      <c r="AV153" s="209"/>
      <c r="AW153" s="209"/>
      <c r="AX153" s="209"/>
      <c r="AY153" s="209"/>
      <c r="AZ153" s="209"/>
      <c r="BA153" s="209"/>
      <c r="BB153" s="209"/>
      <c r="BC153" s="209"/>
      <c r="BD153" s="209"/>
      <c r="BE153" s="209"/>
      <c r="BF153" s="209"/>
      <c r="BG153" s="209"/>
      <c r="BH153" s="209"/>
      <c r="BI153" s="209"/>
      <c r="BJ153" s="209"/>
      <c r="BK153" s="209"/>
      <c r="BL153" s="209"/>
      <c r="BM153" s="209"/>
      <c r="BN153" s="209"/>
      <c r="BO153" s="209"/>
      <c r="BP153" s="209"/>
      <c r="BQ153" s="209"/>
      <c r="BR153" s="209"/>
      <c r="BS153" s="209"/>
      <c r="BT153" s="209"/>
      <c r="BU153" s="209"/>
      <c r="BV153" s="209"/>
      <c r="BW153" s="209"/>
      <c r="BX153" s="209"/>
      <c r="BY153" s="209"/>
      <c r="BZ153" s="209"/>
      <c r="CA153" s="209"/>
      <c r="CB153" s="209"/>
      <c r="CC153" s="209"/>
      <c r="CD153" s="209"/>
      <c r="CE153" s="209"/>
      <c r="CF153" s="209"/>
      <c r="CG153" s="209"/>
      <c r="CH153" s="209"/>
      <c r="CI153" s="209"/>
      <c r="CJ153" s="209"/>
      <c r="CK153" s="209"/>
      <c r="CL153" s="209"/>
      <c r="CM153" s="209"/>
      <c r="CN153" s="209"/>
      <c r="CO153" s="209"/>
      <c r="CP153" s="209"/>
      <c r="CQ153" s="209"/>
      <c r="CR153" s="209"/>
      <c r="CS153" s="209"/>
      <c r="CT153" s="209"/>
      <c r="CU153" s="209"/>
    </row>
    <row r="154" spans="15:99" ht="50.1" customHeight="1"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209"/>
      <c r="AS154" s="209"/>
      <c r="AT154" s="209"/>
      <c r="AU154" s="209"/>
      <c r="AV154" s="209"/>
      <c r="AW154" s="209"/>
      <c r="AX154" s="209"/>
      <c r="AY154" s="209"/>
      <c r="AZ154" s="209"/>
      <c r="BA154" s="209"/>
      <c r="BB154" s="209"/>
      <c r="BC154" s="209"/>
      <c r="BD154" s="209"/>
      <c r="BE154" s="209"/>
      <c r="BF154" s="209"/>
      <c r="BG154" s="209"/>
      <c r="BH154" s="209"/>
      <c r="BI154" s="209"/>
      <c r="BJ154" s="209"/>
      <c r="BK154" s="209"/>
      <c r="BL154" s="209"/>
      <c r="BM154" s="209"/>
      <c r="BN154" s="209"/>
      <c r="BO154" s="209"/>
      <c r="BP154" s="209"/>
      <c r="BQ154" s="209"/>
      <c r="BR154" s="209"/>
      <c r="BS154" s="209"/>
      <c r="BT154" s="209"/>
      <c r="BU154" s="209"/>
      <c r="BV154" s="209"/>
      <c r="BW154" s="209"/>
      <c r="BX154" s="209"/>
      <c r="BY154" s="209"/>
      <c r="BZ154" s="209"/>
      <c r="CA154" s="209"/>
      <c r="CB154" s="209"/>
      <c r="CC154" s="209"/>
      <c r="CD154" s="209"/>
      <c r="CE154" s="209"/>
      <c r="CF154" s="209"/>
      <c r="CG154" s="209"/>
      <c r="CH154" s="209"/>
      <c r="CI154" s="209"/>
      <c r="CJ154" s="209"/>
      <c r="CK154" s="209"/>
      <c r="CL154" s="209"/>
      <c r="CM154" s="209"/>
      <c r="CN154" s="209"/>
      <c r="CO154" s="209"/>
      <c r="CP154" s="209"/>
      <c r="CQ154" s="209"/>
      <c r="CR154" s="209"/>
      <c r="CS154" s="209"/>
      <c r="CT154" s="209"/>
      <c r="CU154" s="209"/>
    </row>
    <row r="155" spans="15:99" ht="50.1" customHeight="1"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09"/>
      <c r="AS155" s="209"/>
      <c r="AT155" s="209"/>
      <c r="AU155" s="209"/>
      <c r="AV155" s="209"/>
      <c r="AW155" s="209"/>
      <c r="AX155" s="209"/>
      <c r="AY155" s="209"/>
      <c r="AZ155" s="209"/>
      <c r="BA155" s="209"/>
      <c r="BB155" s="209"/>
      <c r="BC155" s="209"/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09"/>
      <c r="BV155" s="209"/>
      <c r="BW155" s="209"/>
      <c r="BX155" s="209"/>
      <c r="BY155" s="209"/>
      <c r="BZ155" s="209"/>
      <c r="CA155" s="209"/>
      <c r="CB155" s="209"/>
      <c r="CC155" s="209"/>
      <c r="CD155" s="209"/>
      <c r="CE155" s="209"/>
      <c r="CF155" s="209"/>
      <c r="CG155" s="209"/>
      <c r="CH155" s="209"/>
      <c r="CI155" s="209"/>
      <c r="CJ155" s="209"/>
      <c r="CK155" s="209"/>
      <c r="CL155" s="209"/>
      <c r="CM155" s="209"/>
      <c r="CN155" s="209"/>
      <c r="CO155" s="209"/>
      <c r="CP155" s="209"/>
      <c r="CQ155" s="209"/>
      <c r="CR155" s="209"/>
      <c r="CS155" s="209"/>
      <c r="CT155" s="209"/>
      <c r="CU155" s="209"/>
    </row>
    <row r="156" spans="15:99" ht="50.1" customHeight="1"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AQ156" s="209"/>
      <c r="AR156" s="209"/>
      <c r="AS156" s="209"/>
      <c r="AT156" s="209"/>
      <c r="AU156" s="209"/>
      <c r="AV156" s="209"/>
      <c r="AW156" s="209"/>
      <c r="AX156" s="209"/>
      <c r="AY156" s="209"/>
      <c r="AZ156" s="209"/>
      <c r="BA156" s="209"/>
      <c r="BB156" s="209"/>
      <c r="BC156" s="209"/>
      <c r="BD156" s="209"/>
      <c r="BE156" s="209"/>
      <c r="BF156" s="209"/>
      <c r="BG156" s="209"/>
      <c r="BH156" s="209"/>
      <c r="BI156" s="209"/>
      <c r="BJ156" s="209"/>
      <c r="BK156" s="209"/>
      <c r="BL156" s="209"/>
      <c r="BM156" s="209"/>
      <c r="BN156" s="209"/>
      <c r="BO156" s="209"/>
      <c r="BP156" s="209"/>
      <c r="BQ156" s="209"/>
      <c r="BR156" s="209"/>
      <c r="BS156" s="209"/>
      <c r="BT156" s="209"/>
      <c r="BU156" s="209"/>
      <c r="BV156" s="209"/>
      <c r="BW156" s="209"/>
      <c r="BX156" s="209"/>
      <c r="BY156" s="209"/>
      <c r="BZ156" s="209"/>
      <c r="CA156" s="209"/>
      <c r="CB156" s="209"/>
      <c r="CC156" s="209"/>
      <c r="CD156" s="209"/>
      <c r="CE156" s="209"/>
      <c r="CF156" s="209"/>
      <c r="CG156" s="209"/>
      <c r="CH156" s="209"/>
      <c r="CI156" s="209"/>
      <c r="CJ156" s="209"/>
      <c r="CK156" s="209"/>
      <c r="CL156" s="209"/>
      <c r="CM156" s="209"/>
      <c r="CN156" s="209"/>
      <c r="CO156" s="209"/>
      <c r="CP156" s="209"/>
      <c r="CQ156" s="209"/>
      <c r="CR156" s="209"/>
      <c r="CS156" s="209"/>
      <c r="CT156" s="209"/>
      <c r="CU156" s="209"/>
    </row>
    <row r="157" spans="15:99" ht="50.1" customHeight="1"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  <c r="AX157" s="209"/>
      <c r="AY157" s="209"/>
      <c r="AZ157" s="209"/>
      <c r="BA157" s="209"/>
      <c r="BB157" s="209"/>
      <c r="BC157" s="209"/>
      <c r="BD157" s="209"/>
      <c r="BE157" s="209"/>
      <c r="BF157" s="209"/>
      <c r="BG157" s="209"/>
      <c r="BH157" s="209"/>
      <c r="BI157" s="209"/>
      <c r="BJ157" s="209"/>
      <c r="BK157" s="209"/>
      <c r="BL157" s="209"/>
      <c r="BM157" s="209"/>
      <c r="BN157" s="209"/>
      <c r="BO157" s="209"/>
      <c r="BP157" s="209"/>
      <c r="BQ157" s="209"/>
      <c r="BR157" s="209"/>
      <c r="BS157" s="209"/>
      <c r="BT157" s="209"/>
      <c r="BU157" s="209"/>
      <c r="BV157" s="209"/>
      <c r="BW157" s="209"/>
      <c r="BX157" s="209"/>
      <c r="BY157" s="209"/>
      <c r="BZ157" s="209"/>
      <c r="CA157" s="209"/>
      <c r="CB157" s="209"/>
      <c r="CC157" s="209"/>
      <c r="CD157" s="209"/>
      <c r="CE157" s="209"/>
      <c r="CF157" s="209"/>
      <c r="CG157" s="209"/>
      <c r="CH157" s="209"/>
      <c r="CI157" s="209"/>
      <c r="CJ157" s="209"/>
      <c r="CK157" s="209"/>
      <c r="CL157" s="209"/>
      <c r="CM157" s="209"/>
      <c r="CN157" s="209"/>
      <c r="CO157" s="209"/>
      <c r="CP157" s="209"/>
      <c r="CQ157" s="209"/>
      <c r="CR157" s="209"/>
      <c r="CS157" s="209"/>
      <c r="CT157" s="209"/>
      <c r="CU157" s="209"/>
    </row>
    <row r="158" spans="15:99" ht="50.1" customHeight="1"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AQ158" s="209"/>
      <c r="AR158" s="209"/>
      <c r="AS158" s="209"/>
      <c r="AT158" s="209"/>
      <c r="AU158" s="209"/>
      <c r="AV158" s="209"/>
      <c r="AW158" s="209"/>
      <c r="AX158" s="209"/>
      <c r="AY158" s="209"/>
      <c r="AZ158" s="209"/>
      <c r="BA158" s="209"/>
      <c r="BB158" s="209"/>
      <c r="BC158" s="209"/>
      <c r="BD158" s="209"/>
      <c r="BE158" s="209"/>
      <c r="BF158" s="209"/>
      <c r="BG158" s="209"/>
      <c r="BH158" s="209"/>
      <c r="BI158" s="209"/>
      <c r="BJ158" s="209"/>
      <c r="BK158" s="209"/>
      <c r="BL158" s="209"/>
      <c r="BM158" s="209"/>
      <c r="BN158" s="209"/>
      <c r="BO158" s="209"/>
      <c r="BP158" s="209"/>
      <c r="BQ158" s="209"/>
      <c r="BR158" s="209"/>
      <c r="BS158" s="209"/>
      <c r="BT158" s="209"/>
      <c r="BU158" s="209"/>
      <c r="BV158" s="209"/>
      <c r="BW158" s="209"/>
      <c r="BX158" s="209"/>
      <c r="BY158" s="209"/>
      <c r="BZ158" s="209"/>
      <c r="CA158" s="209"/>
      <c r="CB158" s="209"/>
      <c r="CC158" s="209"/>
      <c r="CD158" s="209"/>
      <c r="CE158" s="209"/>
      <c r="CF158" s="209"/>
      <c r="CG158" s="209"/>
      <c r="CH158" s="209"/>
      <c r="CI158" s="209"/>
      <c r="CJ158" s="209"/>
      <c r="CK158" s="209"/>
      <c r="CL158" s="209"/>
      <c r="CM158" s="209"/>
      <c r="CN158" s="209"/>
      <c r="CO158" s="209"/>
      <c r="CP158" s="209"/>
      <c r="CQ158" s="209"/>
      <c r="CR158" s="209"/>
      <c r="CS158" s="209"/>
      <c r="CT158" s="209"/>
      <c r="CU158" s="209"/>
    </row>
    <row r="159" spans="15:99" ht="50.1" customHeight="1"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  <c r="AQ159" s="209"/>
      <c r="AR159" s="209"/>
      <c r="AS159" s="209"/>
      <c r="AT159" s="209"/>
      <c r="AU159" s="209"/>
      <c r="AV159" s="209"/>
      <c r="AW159" s="209"/>
      <c r="AX159" s="209"/>
      <c r="AY159" s="209"/>
      <c r="AZ159" s="209"/>
      <c r="BA159" s="209"/>
      <c r="BB159" s="209"/>
      <c r="BC159" s="209"/>
      <c r="BD159" s="209"/>
      <c r="BE159" s="209"/>
      <c r="BF159" s="209"/>
      <c r="BG159" s="209"/>
      <c r="BH159" s="209"/>
      <c r="BI159" s="209"/>
      <c r="BJ159" s="209"/>
      <c r="BK159" s="209"/>
      <c r="BL159" s="209"/>
      <c r="BM159" s="209"/>
      <c r="BN159" s="209"/>
      <c r="BO159" s="209"/>
      <c r="BP159" s="209"/>
      <c r="BQ159" s="209"/>
      <c r="BR159" s="209"/>
      <c r="BS159" s="209"/>
      <c r="BT159" s="209"/>
      <c r="BU159" s="209"/>
      <c r="BV159" s="209"/>
      <c r="BW159" s="209"/>
      <c r="BX159" s="209"/>
      <c r="BY159" s="209"/>
      <c r="BZ159" s="209"/>
      <c r="CA159" s="209"/>
      <c r="CB159" s="209"/>
      <c r="CC159" s="209"/>
      <c r="CD159" s="209"/>
      <c r="CE159" s="209"/>
      <c r="CF159" s="209"/>
      <c r="CG159" s="209"/>
      <c r="CH159" s="209"/>
      <c r="CI159" s="209"/>
      <c r="CJ159" s="209"/>
      <c r="CK159" s="209"/>
      <c r="CL159" s="209"/>
      <c r="CM159" s="209"/>
      <c r="CN159" s="209"/>
      <c r="CO159" s="209"/>
      <c r="CP159" s="209"/>
      <c r="CQ159" s="209"/>
      <c r="CR159" s="209"/>
      <c r="CS159" s="209"/>
      <c r="CT159" s="209"/>
      <c r="CU159" s="209"/>
    </row>
    <row r="160" spans="15:99" ht="50.1" customHeight="1"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09"/>
      <c r="AP160" s="209"/>
      <c r="AQ160" s="209"/>
      <c r="AR160" s="209"/>
      <c r="AS160" s="209"/>
      <c r="AT160" s="209"/>
      <c r="AU160" s="209"/>
      <c r="AV160" s="209"/>
      <c r="AW160" s="209"/>
      <c r="AX160" s="209"/>
      <c r="AY160" s="209"/>
      <c r="AZ160" s="209"/>
      <c r="BA160" s="209"/>
      <c r="BB160" s="209"/>
      <c r="BC160" s="209"/>
      <c r="BD160" s="209"/>
      <c r="BE160" s="209"/>
      <c r="BF160" s="209"/>
      <c r="BG160" s="209"/>
      <c r="BH160" s="209"/>
      <c r="BI160" s="209"/>
      <c r="BJ160" s="209"/>
      <c r="BK160" s="209"/>
      <c r="BL160" s="209"/>
      <c r="BM160" s="209"/>
      <c r="BN160" s="209"/>
      <c r="BO160" s="209"/>
      <c r="BP160" s="209"/>
      <c r="BQ160" s="209"/>
      <c r="BR160" s="209"/>
      <c r="BS160" s="209"/>
      <c r="BT160" s="209"/>
      <c r="BU160" s="209"/>
      <c r="BV160" s="209"/>
      <c r="BW160" s="209"/>
      <c r="BX160" s="209"/>
      <c r="BY160" s="209"/>
      <c r="BZ160" s="209"/>
      <c r="CA160" s="209"/>
      <c r="CB160" s="209"/>
      <c r="CC160" s="209"/>
      <c r="CD160" s="209"/>
      <c r="CE160" s="209"/>
      <c r="CF160" s="209"/>
      <c r="CG160" s="209"/>
      <c r="CH160" s="209"/>
      <c r="CI160" s="209"/>
      <c r="CJ160" s="209"/>
      <c r="CK160" s="209"/>
      <c r="CL160" s="209"/>
      <c r="CM160" s="209"/>
      <c r="CN160" s="209"/>
      <c r="CO160" s="209"/>
      <c r="CP160" s="209"/>
      <c r="CQ160" s="209"/>
      <c r="CR160" s="209"/>
      <c r="CS160" s="209"/>
      <c r="CT160" s="209"/>
      <c r="CU160" s="209"/>
    </row>
    <row r="161" spans="15:99" ht="50.1" customHeight="1"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209"/>
      <c r="AS161" s="209"/>
      <c r="AT161" s="209"/>
      <c r="AU161" s="209"/>
      <c r="AV161" s="209"/>
      <c r="AW161" s="209"/>
      <c r="AX161" s="209"/>
      <c r="AY161" s="209"/>
      <c r="AZ161" s="209"/>
      <c r="BA161" s="209"/>
      <c r="BB161" s="209"/>
      <c r="BC161" s="209"/>
      <c r="BD161" s="209"/>
      <c r="BE161" s="209"/>
      <c r="BF161" s="209"/>
      <c r="BG161" s="209"/>
      <c r="BH161" s="209"/>
      <c r="BI161" s="209"/>
      <c r="BJ161" s="209"/>
      <c r="BK161" s="209"/>
      <c r="BL161" s="209"/>
      <c r="BM161" s="209"/>
      <c r="BN161" s="209"/>
      <c r="BO161" s="209"/>
      <c r="BP161" s="209"/>
      <c r="BQ161" s="209"/>
      <c r="BR161" s="209"/>
      <c r="BS161" s="209"/>
      <c r="BT161" s="209"/>
      <c r="BU161" s="209"/>
      <c r="BV161" s="209"/>
      <c r="BW161" s="209"/>
      <c r="BX161" s="209"/>
      <c r="BY161" s="209"/>
      <c r="BZ161" s="209"/>
      <c r="CA161" s="209"/>
      <c r="CB161" s="209"/>
      <c r="CC161" s="209"/>
      <c r="CD161" s="209"/>
      <c r="CE161" s="209"/>
      <c r="CF161" s="209"/>
      <c r="CG161" s="209"/>
      <c r="CH161" s="209"/>
      <c r="CI161" s="209"/>
      <c r="CJ161" s="209"/>
      <c r="CK161" s="209"/>
      <c r="CL161" s="209"/>
      <c r="CM161" s="209"/>
      <c r="CN161" s="209"/>
      <c r="CO161" s="209"/>
      <c r="CP161" s="209"/>
      <c r="CQ161" s="209"/>
      <c r="CR161" s="209"/>
      <c r="CS161" s="209"/>
      <c r="CT161" s="209"/>
      <c r="CU161" s="209"/>
    </row>
    <row r="162" spans="15:99" ht="50.1" customHeight="1"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  <c r="AU162" s="209"/>
      <c r="AV162" s="209"/>
      <c r="AW162" s="209"/>
      <c r="AX162" s="209"/>
      <c r="AY162" s="209"/>
      <c r="AZ162" s="209"/>
      <c r="BA162" s="209"/>
      <c r="BB162" s="209"/>
      <c r="BC162" s="209"/>
      <c r="BD162" s="209"/>
      <c r="BE162" s="209"/>
      <c r="BF162" s="209"/>
      <c r="BG162" s="209"/>
      <c r="BH162" s="209"/>
      <c r="BI162" s="209"/>
      <c r="BJ162" s="209"/>
      <c r="BK162" s="209"/>
      <c r="BL162" s="209"/>
      <c r="BM162" s="209"/>
      <c r="BN162" s="209"/>
      <c r="BO162" s="209"/>
      <c r="BP162" s="209"/>
      <c r="BQ162" s="209"/>
      <c r="BR162" s="209"/>
      <c r="BS162" s="209"/>
      <c r="BT162" s="209"/>
      <c r="BU162" s="209"/>
      <c r="BV162" s="209"/>
      <c r="BW162" s="209"/>
      <c r="BX162" s="209"/>
      <c r="BY162" s="209"/>
      <c r="BZ162" s="209"/>
      <c r="CA162" s="209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  <c r="CT162" s="209"/>
      <c r="CU162" s="209"/>
    </row>
    <row r="163" spans="15:99" ht="50.1" customHeight="1"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AQ163" s="209"/>
      <c r="AR163" s="209"/>
      <c r="AS163" s="209"/>
      <c r="AT163" s="209"/>
      <c r="AU163" s="209"/>
      <c r="AV163" s="209"/>
      <c r="AW163" s="209"/>
      <c r="AX163" s="209"/>
      <c r="AY163" s="209"/>
      <c r="AZ163" s="209"/>
      <c r="BA163" s="209"/>
      <c r="BB163" s="209"/>
      <c r="BC163" s="209"/>
      <c r="BD163" s="209"/>
      <c r="BE163" s="209"/>
      <c r="BF163" s="209"/>
      <c r="BG163" s="209"/>
      <c r="BH163" s="209"/>
      <c r="BI163" s="209"/>
      <c r="BJ163" s="209"/>
      <c r="BK163" s="209"/>
      <c r="BL163" s="209"/>
      <c r="BM163" s="209"/>
      <c r="BN163" s="209"/>
      <c r="BO163" s="209"/>
      <c r="BP163" s="209"/>
      <c r="BQ163" s="209"/>
      <c r="BR163" s="209"/>
      <c r="BS163" s="209"/>
      <c r="BT163" s="209"/>
      <c r="BU163" s="209"/>
      <c r="BV163" s="209"/>
      <c r="BW163" s="209"/>
      <c r="BX163" s="209"/>
      <c r="BY163" s="209"/>
      <c r="BZ163" s="209"/>
      <c r="CA163" s="209"/>
      <c r="CB163" s="209"/>
      <c r="CC163" s="209"/>
      <c r="CD163" s="209"/>
      <c r="CE163" s="209"/>
      <c r="CF163" s="209"/>
      <c r="CG163" s="209"/>
      <c r="CH163" s="209"/>
      <c r="CI163" s="209"/>
      <c r="CJ163" s="209"/>
      <c r="CK163" s="209"/>
      <c r="CL163" s="209"/>
      <c r="CM163" s="209"/>
      <c r="CN163" s="209"/>
      <c r="CO163" s="209"/>
      <c r="CP163" s="209"/>
      <c r="CQ163" s="209"/>
      <c r="CR163" s="209"/>
      <c r="CS163" s="209"/>
      <c r="CT163" s="209"/>
      <c r="CU163" s="209"/>
    </row>
  </sheetData>
  <mergeCells count="2043">
    <mergeCell ref="AA44:AA46"/>
    <mergeCell ref="AC41:AC43"/>
    <mergeCell ref="AB41:AB43"/>
    <mergeCell ref="AA41:AA43"/>
    <mergeCell ref="AS44:AS46"/>
    <mergeCell ref="AS41:AS43"/>
    <mergeCell ref="AR44:AR46"/>
    <mergeCell ref="AR41:AR43"/>
    <mergeCell ref="AQ44:AQ46"/>
    <mergeCell ref="AQ41:AQ43"/>
    <mergeCell ref="AP44:AP46"/>
    <mergeCell ref="AP41:AP43"/>
    <mergeCell ref="AO44:AO46"/>
    <mergeCell ref="AO41:AO43"/>
    <mergeCell ref="AN44:AN46"/>
    <mergeCell ref="AN41:AN43"/>
    <mergeCell ref="AM44:AM46"/>
    <mergeCell ref="AM41:AM43"/>
    <mergeCell ref="AL44:AL46"/>
    <mergeCell ref="AL41:AL43"/>
    <mergeCell ref="AK44:AK46"/>
    <mergeCell ref="AK41:AK43"/>
    <mergeCell ref="AG44:AG46"/>
    <mergeCell ref="AF44:AF46"/>
    <mergeCell ref="AE44:AE46"/>
    <mergeCell ref="AD44:AD46"/>
    <mergeCell ref="AC44:AC46"/>
    <mergeCell ref="AB44:AB46"/>
    <mergeCell ref="AH41:AH43"/>
    <mergeCell ref="AG41:AG43"/>
    <mergeCell ref="AF41:AF43"/>
    <mergeCell ref="AE41:AE43"/>
    <mergeCell ref="D1:F1"/>
    <mergeCell ref="D2:F6"/>
    <mergeCell ref="Q41:Q43"/>
    <mergeCell ref="R41:R43"/>
    <mergeCell ref="S41:S43"/>
    <mergeCell ref="Y41:Y43"/>
    <mergeCell ref="X41:X43"/>
    <mergeCell ref="W41:W43"/>
    <mergeCell ref="V41:V43"/>
    <mergeCell ref="Y44:Y46"/>
    <mergeCell ref="X44:X46"/>
    <mergeCell ref="W44:W46"/>
    <mergeCell ref="V44:V46"/>
    <mergeCell ref="AG127:AG128"/>
    <mergeCell ref="AF127:AF128"/>
    <mergeCell ref="AE127:AE128"/>
    <mergeCell ref="AD127:AD128"/>
    <mergeCell ref="AC127:AC128"/>
    <mergeCell ref="AB127:AB128"/>
    <mergeCell ref="AA127:AA128"/>
    <mergeCell ref="AG125:AG126"/>
    <mergeCell ref="AG123:AG124"/>
    <mergeCell ref="AF125:AF126"/>
    <mergeCell ref="AF123:AF124"/>
    <mergeCell ref="AE125:AE126"/>
    <mergeCell ref="AE123:AE124"/>
    <mergeCell ref="AD123:AD124"/>
    <mergeCell ref="AD125:AD126"/>
    <mergeCell ref="AC125:AC126"/>
    <mergeCell ref="AB125:AB126"/>
    <mergeCell ref="AA125:AA126"/>
    <mergeCell ref="AC123:AC124"/>
    <mergeCell ref="AB123:AB124"/>
    <mergeCell ref="AA123:AA124"/>
    <mergeCell ref="AJ127:AJ128"/>
    <mergeCell ref="AJ125:AJ126"/>
    <mergeCell ref="AJ123:AJ124"/>
    <mergeCell ref="AI127:AI128"/>
    <mergeCell ref="AI125:AI126"/>
    <mergeCell ref="AI123:AI124"/>
    <mergeCell ref="AH127:AH128"/>
    <mergeCell ref="AH125:AH126"/>
    <mergeCell ref="AH123:AH124"/>
    <mergeCell ref="AM127:AM128"/>
    <mergeCell ref="AM125:AM126"/>
    <mergeCell ref="AM123:AM124"/>
    <mergeCell ref="AL127:AL128"/>
    <mergeCell ref="AL125:AL126"/>
    <mergeCell ref="AL123:AL124"/>
    <mergeCell ref="AK127:AK128"/>
    <mergeCell ref="AK125:AK126"/>
    <mergeCell ref="AK123:AK124"/>
    <mergeCell ref="AP127:AP128"/>
    <mergeCell ref="AP125:AP126"/>
    <mergeCell ref="AP123:AP124"/>
    <mergeCell ref="AO127:AO128"/>
    <mergeCell ref="AO125:AO126"/>
    <mergeCell ref="AO123:AO124"/>
    <mergeCell ref="AN127:AN128"/>
    <mergeCell ref="AN125:AN126"/>
    <mergeCell ref="AN123:AN124"/>
    <mergeCell ref="AS127:AS128"/>
    <mergeCell ref="AS125:AS126"/>
    <mergeCell ref="AS123:AS124"/>
    <mergeCell ref="AR127:AR128"/>
    <mergeCell ref="AR125:AR126"/>
    <mergeCell ref="AR123:AR124"/>
    <mergeCell ref="AQ127:AQ128"/>
    <mergeCell ref="AQ125:AQ126"/>
    <mergeCell ref="AQ123:AQ124"/>
    <mergeCell ref="AC117:AC118"/>
    <mergeCell ref="AC115:AC116"/>
    <mergeCell ref="AC113:AC114"/>
    <mergeCell ref="AC111:AC112"/>
    <mergeCell ref="AC108:AC109"/>
    <mergeCell ref="AB117:AB118"/>
    <mergeCell ref="AA117:AA118"/>
    <mergeCell ref="AB115:AB116"/>
    <mergeCell ref="AA115:AA116"/>
    <mergeCell ref="AB113:AB114"/>
    <mergeCell ref="AA113:AA114"/>
    <mergeCell ref="AB111:AB112"/>
    <mergeCell ref="AA111:AA112"/>
    <mergeCell ref="AB108:AB109"/>
    <mergeCell ref="AA108:AA109"/>
    <mergeCell ref="AL108:AL109"/>
    <mergeCell ref="AK108:AK109"/>
    <mergeCell ref="AJ108:AJ109"/>
    <mergeCell ref="AI108:AI109"/>
    <mergeCell ref="AH108:AH109"/>
    <mergeCell ref="AG108:AG109"/>
    <mergeCell ref="AF108:AF109"/>
    <mergeCell ref="AE108:AE109"/>
    <mergeCell ref="AD108:AD109"/>
    <mergeCell ref="AF117:AF118"/>
    <mergeCell ref="AF115:AF116"/>
    <mergeCell ref="AF113:AF114"/>
    <mergeCell ref="AF111:AF112"/>
    <mergeCell ref="AE117:AE118"/>
    <mergeCell ref="AE115:AE116"/>
    <mergeCell ref="AE113:AE114"/>
    <mergeCell ref="AE111:AE112"/>
    <mergeCell ref="AD113:AD114"/>
    <mergeCell ref="AD111:AD112"/>
    <mergeCell ref="AI117:AI118"/>
    <mergeCell ref="AI115:AI116"/>
    <mergeCell ref="AI113:AI114"/>
    <mergeCell ref="AI111:AI112"/>
    <mergeCell ref="AH117:AH118"/>
    <mergeCell ref="AH115:AH116"/>
    <mergeCell ref="AH113:AH114"/>
    <mergeCell ref="AH111:AH112"/>
    <mergeCell ref="AG117:AG118"/>
    <mergeCell ref="AG115:AG116"/>
    <mergeCell ref="AG113:AG114"/>
    <mergeCell ref="AG111:AG112"/>
    <mergeCell ref="AL117:AL118"/>
    <mergeCell ref="AL115:AL116"/>
    <mergeCell ref="AL113:AL114"/>
    <mergeCell ref="AL111:AL112"/>
    <mergeCell ref="AK117:AK118"/>
    <mergeCell ref="AK115:AK116"/>
    <mergeCell ref="AK113:AK114"/>
    <mergeCell ref="AK111:AK112"/>
    <mergeCell ref="AJ117:AJ118"/>
    <mergeCell ref="AJ115:AJ116"/>
    <mergeCell ref="AJ113:AJ114"/>
    <mergeCell ref="AJ111:AJ112"/>
    <mergeCell ref="AN117:AN118"/>
    <mergeCell ref="AN115:AN116"/>
    <mergeCell ref="AN113:AN114"/>
    <mergeCell ref="AN111:AN112"/>
    <mergeCell ref="AN108:AN109"/>
    <mergeCell ref="AM117:AM118"/>
    <mergeCell ref="AM115:AM116"/>
    <mergeCell ref="AM113:AM114"/>
    <mergeCell ref="AM111:AM112"/>
    <mergeCell ref="AM108:AM109"/>
    <mergeCell ref="AA105:AA106"/>
    <mergeCell ref="AS117:AS118"/>
    <mergeCell ref="AR117:AR118"/>
    <mergeCell ref="AQ117:AQ118"/>
    <mergeCell ref="AP117:AP118"/>
    <mergeCell ref="AO117:AO118"/>
    <mergeCell ref="AS115:AS116"/>
    <mergeCell ref="AR115:AR116"/>
    <mergeCell ref="AQ115:AQ116"/>
    <mergeCell ref="AP115:AP116"/>
    <mergeCell ref="AO115:AO116"/>
    <mergeCell ref="AS113:AS114"/>
    <mergeCell ref="AR113:AR114"/>
    <mergeCell ref="AQ113:AQ114"/>
    <mergeCell ref="AP113:AP114"/>
    <mergeCell ref="AO113:AO114"/>
    <mergeCell ref="AS111:AS112"/>
    <mergeCell ref="AR111:AR112"/>
    <mergeCell ref="AQ111:AQ112"/>
    <mergeCell ref="AP111:AP112"/>
    <mergeCell ref="AD117:AD118"/>
    <mergeCell ref="AD115:AD116"/>
    <mergeCell ref="AO111:AO112"/>
    <mergeCell ref="AS108:AS109"/>
    <mergeCell ref="AR108:AR109"/>
    <mergeCell ref="AQ108:AQ109"/>
    <mergeCell ref="AJ105:AJ106"/>
    <mergeCell ref="AI105:AI106"/>
    <mergeCell ref="AH105:AH106"/>
    <mergeCell ref="AG105:AG106"/>
    <mergeCell ref="AF105:AF106"/>
    <mergeCell ref="AE105:AE106"/>
    <mergeCell ref="AD105:AD106"/>
    <mergeCell ref="AC105:AC106"/>
    <mergeCell ref="AB105:AB106"/>
    <mergeCell ref="AS105:AS106"/>
    <mergeCell ref="AR105:AR106"/>
    <mergeCell ref="AQ105:AQ106"/>
    <mergeCell ref="AP105:AP106"/>
    <mergeCell ref="AO105:AO106"/>
    <mergeCell ref="AN105:AN106"/>
    <mergeCell ref="AM105:AM106"/>
    <mergeCell ref="AL105:AL106"/>
    <mergeCell ref="AK105:AK106"/>
    <mergeCell ref="AP108:AP109"/>
    <mergeCell ref="AO108:AO109"/>
    <mergeCell ref="AB103:AB104"/>
    <mergeCell ref="AA103:AA104"/>
    <mergeCell ref="AE101:AE102"/>
    <mergeCell ref="AD101:AD102"/>
    <mergeCell ref="AC101:AC102"/>
    <mergeCell ref="AB101:AB102"/>
    <mergeCell ref="AA101:AA102"/>
    <mergeCell ref="AE99:AE100"/>
    <mergeCell ref="AD99:AD100"/>
    <mergeCell ref="AC99:AC100"/>
    <mergeCell ref="AB99:AB100"/>
    <mergeCell ref="AA99:AA100"/>
    <mergeCell ref="AG103:AG104"/>
    <mergeCell ref="AG101:AG102"/>
    <mergeCell ref="AG99:AG100"/>
    <mergeCell ref="AF103:AF104"/>
    <mergeCell ref="AF101:AF102"/>
    <mergeCell ref="AF99:AF100"/>
    <mergeCell ref="AE103:AE104"/>
    <mergeCell ref="AD103:AD104"/>
    <mergeCell ref="AC103:AC104"/>
    <mergeCell ref="AJ103:AJ104"/>
    <mergeCell ref="AJ101:AJ102"/>
    <mergeCell ref="AJ99:AJ100"/>
    <mergeCell ref="AI103:AI104"/>
    <mergeCell ref="AI101:AI102"/>
    <mergeCell ref="AI99:AI100"/>
    <mergeCell ref="AH103:AH104"/>
    <mergeCell ref="AH101:AH102"/>
    <mergeCell ref="AH99:AH100"/>
    <mergeCell ref="AM103:AM104"/>
    <mergeCell ref="AM101:AM102"/>
    <mergeCell ref="AM99:AM100"/>
    <mergeCell ref="AL103:AL104"/>
    <mergeCell ref="AL101:AL102"/>
    <mergeCell ref="AL99:AL100"/>
    <mergeCell ref="AK103:AK104"/>
    <mergeCell ref="AK101:AK102"/>
    <mergeCell ref="AK99:AK100"/>
    <mergeCell ref="AP103:AP104"/>
    <mergeCell ref="AP101:AP102"/>
    <mergeCell ref="AP99:AP100"/>
    <mergeCell ref="AO103:AO104"/>
    <mergeCell ref="AO101:AO102"/>
    <mergeCell ref="AO99:AO100"/>
    <mergeCell ref="AN103:AN104"/>
    <mergeCell ref="AN101:AN102"/>
    <mergeCell ref="AN99:AN100"/>
    <mergeCell ref="AS103:AS104"/>
    <mergeCell ref="AS101:AS102"/>
    <mergeCell ref="AS99:AS100"/>
    <mergeCell ref="AR103:AR104"/>
    <mergeCell ref="AR101:AR102"/>
    <mergeCell ref="AR99:AR100"/>
    <mergeCell ref="AQ103:AQ104"/>
    <mergeCell ref="AQ101:AQ102"/>
    <mergeCell ref="AQ99:AQ100"/>
    <mergeCell ref="AA95:AA96"/>
    <mergeCell ref="AS97:AS98"/>
    <mergeCell ref="AR97:AR98"/>
    <mergeCell ref="AQ97:AQ98"/>
    <mergeCell ref="AP97:AP98"/>
    <mergeCell ref="AO97:AO98"/>
    <mergeCell ref="AN97:AN98"/>
    <mergeCell ref="AM97:AM98"/>
    <mergeCell ref="AL97:AL98"/>
    <mergeCell ref="AK97:AK98"/>
    <mergeCell ref="AJ97:AJ98"/>
    <mergeCell ref="AI97:AI98"/>
    <mergeCell ref="AH97:AH98"/>
    <mergeCell ref="AG97:AG98"/>
    <mergeCell ref="AF97:AF98"/>
    <mergeCell ref="AE97:AE98"/>
    <mergeCell ref="AD97:AD98"/>
    <mergeCell ref="AC97:AC98"/>
    <mergeCell ref="AB97:AB98"/>
    <mergeCell ref="AA97:AA98"/>
    <mergeCell ref="AJ95:AJ96"/>
    <mergeCell ref="AI95:AI96"/>
    <mergeCell ref="AH95:AH96"/>
    <mergeCell ref="AG95:AG96"/>
    <mergeCell ref="AF95:AF96"/>
    <mergeCell ref="AE95:AE96"/>
    <mergeCell ref="AD95:AD96"/>
    <mergeCell ref="AC95:AC96"/>
    <mergeCell ref="AB95:AB96"/>
    <mergeCell ref="AS95:AS96"/>
    <mergeCell ref="AR95:AR96"/>
    <mergeCell ref="AQ95:AQ96"/>
    <mergeCell ref="AP95:AP96"/>
    <mergeCell ref="AO95:AO96"/>
    <mergeCell ref="AN95:AN96"/>
    <mergeCell ref="AM95:AM96"/>
    <mergeCell ref="AL95:AL96"/>
    <mergeCell ref="AK95:AK96"/>
    <mergeCell ref="AA91:AA92"/>
    <mergeCell ref="AS93:AS94"/>
    <mergeCell ref="AR93:AR94"/>
    <mergeCell ref="AQ93:AQ94"/>
    <mergeCell ref="AP93:AP94"/>
    <mergeCell ref="AO93:AO94"/>
    <mergeCell ref="AN93:AN94"/>
    <mergeCell ref="AM93:AM94"/>
    <mergeCell ref="AL93:AL94"/>
    <mergeCell ref="AK93:AK94"/>
    <mergeCell ref="AJ93:AJ94"/>
    <mergeCell ref="AI93:AI94"/>
    <mergeCell ref="AH93:AH94"/>
    <mergeCell ref="AG93:AG94"/>
    <mergeCell ref="AF93:AF94"/>
    <mergeCell ref="AE93:AE94"/>
    <mergeCell ref="AD93:AD94"/>
    <mergeCell ref="AC93:AC94"/>
    <mergeCell ref="AB93:AB94"/>
    <mergeCell ref="AA93:AA94"/>
    <mergeCell ref="AJ91:AJ92"/>
    <mergeCell ref="AI91:AI92"/>
    <mergeCell ref="AH91:AH92"/>
    <mergeCell ref="AG91:AG92"/>
    <mergeCell ref="AF91:AF92"/>
    <mergeCell ref="AE91:AE92"/>
    <mergeCell ref="AD91:AD92"/>
    <mergeCell ref="AC91:AC92"/>
    <mergeCell ref="AB91:AB92"/>
    <mergeCell ref="AS91:AS92"/>
    <mergeCell ref="AR91:AR92"/>
    <mergeCell ref="AQ91:AQ92"/>
    <mergeCell ref="AP91:AP92"/>
    <mergeCell ref="AO91:AO92"/>
    <mergeCell ref="AN91:AN92"/>
    <mergeCell ref="AM91:AM92"/>
    <mergeCell ref="AL91:AL92"/>
    <mergeCell ref="AK91:AK92"/>
    <mergeCell ref="AA87:AA88"/>
    <mergeCell ref="AS89:AS90"/>
    <mergeCell ref="AR89:AR90"/>
    <mergeCell ref="AQ89:AQ90"/>
    <mergeCell ref="AP89:AP90"/>
    <mergeCell ref="AO89:AO90"/>
    <mergeCell ref="AN89:AN90"/>
    <mergeCell ref="AM89:AM90"/>
    <mergeCell ref="AL89:AL90"/>
    <mergeCell ref="AK89:AK90"/>
    <mergeCell ref="AJ89:AJ90"/>
    <mergeCell ref="AI89:AI90"/>
    <mergeCell ref="AH89:AH90"/>
    <mergeCell ref="AG89:AG90"/>
    <mergeCell ref="AF89:AF90"/>
    <mergeCell ref="AE89:AE90"/>
    <mergeCell ref="AD89:AD90"/>
    <mergeCell ref="AC89:AC90"/>
    <mergeCell ref="AB89:AB90"/>
    <mergeCell ref="AA89:AA90"/>
    <mergeCell ref="AJ87:AJ88"/>
    <mergeCell ref="AI87:AI88"/>
    <mergeCell ref="AH87:AH88"/>
    <mergeCell ref="AG87:AG88"/>
    <mergeCell ref="AF87:AF88"/>
    <mergeCell ref="AE87:AE88"/>
    <mergeCell ref="AD87:AD88"/>
    <mergeCell ref="AC87:AC88"/>
    <mergeCell ref="AB87:AB88"/>
    <mergeCell ref="AS87:AS88"/>
    <mergeCell ref="AR87:AR88"/>
    <mergeCell ref="AQ87:AQ88"/>
    <mergeCell ref="AP87:AP88"/>
    <mergeCell ref="AO87:AO88"/>
    <mergeCell ref="AN87:AN88"/>
    <mergeCell ref="AM87:AM88"/>
    <mergeCell ref="AL87:AL88"/>
    <mergeCell ref="AK87:AK88"/>
    <mergeCell ref="AA83:AA84"/>
    <mergeCell ref="AS85:AS86"/>
    <mergeCell ref="AR85:AR86"/>
    <mergeCell ref="AQ85:AQ86"/>
    <mergeCell ref="AP85:AP86"/>
    <mergeCell ref="AO85:AO86"/>
    <mergeCell ref="AN85:AN86"/>
    <mergeCell ref="AM85:AM86"/>
    <mergeCell ref="AL85:AL86"/>
    <mergeCell ref="AK85:AK86"/>
    <mergeCell ref="AJ85:AJ86"/>
    <mergeCell ref="AI85:AI86"/>
    <mergeCell ref="AH85:AH86"/>
    <mergeCell ref="AG85:AG86"/>
    <mergeCell ref="AF85:AF86"/>
    <mergeCell ref="AE85:AE86"/>
    <mergeCell ref="AD85:AD86"/>
    <mergeCell ref="AC85:AC86"/>
    <mergeCell ref="AB85:AB86"/>
    <mergeCell ref="AA85:AA86"/>
    <mergeCell ref="AJ83:AJ84"/>
    <mergeCell ref="AI83:AI84"/>
    <mergeCell ref="AH83:AH84"/>
    <mergeCell ref="AG83:AG84"/>
    <mergeCell ref="AF83:AF84"/>
    <mergeCell ref="AE83:AE84"/>
    <mergeCell ref="AD83:AD84"/>
    <mergeCell ref="AC83:AC84"/>
    <mergeCell ref="AB83:AB84"/>
    <mergeCell ref="AS83:AS84"/>
    <mergeCell ref="AR83:AR84"/>
    <mergeCell ref="AQ83:AQ84"/>
    <mergeCell ref="AP83:AP84"/>
    <mergeCell ref="AO83:AO84"/>
    <mergeCell ref="AN83:AN84"/>
    <mergeCell ref="AM83:AM84"/>
    <mergeCell ref="AL83:AL84"/>
    <mergeCell ref="AK83:AK84"/>
    <mergeCell ref="AA78:AA79"/>
    <mergeCell ref="AS80:AS81"/>
    <mergeCell ref="AR80:AR81"/>
    <mergeCell ref="AQ80:AQ81"/>
    <mergeCell ref="AP80:AP81"/>
    <mergeCell ref="AO80:AO81"/>
    <mergeCell ref="AN80:AN81"/>
    <mergeCell ref="AM80:AM81"/>
    <mergeCell ref="AL80:AL81"/>
    <mergeCell ref="AK80:AK81"/>
    <mergeCell ref="AJ80:AJ81"/>
    <mergeCell ref="AI80:AI81"/>
    <mergeCell ref="AH80:AH81"/>
    <mergeCell ref="AG80:AG81"/>
    <mergeCell ref="AF80:AF81"/>
    <mergeCell ref="AE80:AE81"/>
    <mergeCell ref="AD80:AD81"/>
    <mergeCell ref="AC80:AC81"/>
    <mergeCell ref="AB80:AB81"/>
    <mergeCell ref="AA80:AA81"/>
    <mergeCell ref="AJ78:AJ79"/>
    <mergeCell ref="AI78:AI79"/>
    <mergeCell ref="AH78:AH79"/>
    <mergeCell ref="AG78:AG79"/>
    <mergeCell ref="AF78:AF79"/>
    <mergeCell ref="AE78:AE79"/>
    <mergeCell ref="AD78:AD79"/>
    <mergeCell ref="AC78:AC79"/>
    <mergeCell ref="AB78:AB79"/>
    <mergeCell ref="AS78:AS79"/>
    <mergeCell ref="AR78:AR79"/>
    <mergeCell ref="AQ78:AQ79"/>
    <mergeCell ref="AP78:AP79"/>
    <mergeCell ref="AO78:AO79"/>
    <mergeCell ref="AN78:AN79"/>
    <mergeCell ref="AM78:AM79"/>
    <mergeCell ref="AL78:AL79"/>
    <mergeCell ref="AK78:AK79"/>
    <mergeCell ref="AA74:AA75"/>
    <mergeCell ref="AS76:AS77"/>
    <mergeCell ref="AR76:AR77"/>
    <mergeCell ref="AQ76:AQ77"/>
    <mergeCell ref="AP76:AP77"/>
    <mergeCell ref="AO76:AO77"/>
    <mergeCell ref="AN76:AN77"/>
    <mergeCell ref="AM76:AM77"/>
    <mergeCell ref="AL76:AL77"/>
    <mergeCell ref="AK76:AK77"/>
    <mergeCell ref="AJ76:AJ77"/>
    <mergeCell ref="AI76:AI77"/>
    <mergeCell ref="AH76:AH77"/>
    <mergeCell ref="AG76:AG77"/>
    <mergeCell ref="AF76:AF77"/>
    <mergeCell ref="AE76:AE77"/>
    <mergeCell ref="AD76:AD77"/>
    <mergeCell ref="AC76:AC77"/>
    <mergeCell ref="AB76:AB77"/>
    <mergeCell ref="AA76:AA77"/>
    <mergeCell ref="AJ74:AJ75"/>
    <mergeCell ref="AI74:AI75"/>
    <mergeCell ref="AH74:AH75"/>
    <mergeCell ref="AG74:AG75"/>
    <mergeCell ref="AF74:AF75"/>
    <mergeCell ref="AE74:AE75"/>
    <mergeCell ref="AD74:AD75"/>
    <mergeCell ref="AC74:AC75"/>
    <mergeCell ref="AB74:AB75"/>
    <mergeCell ref="AS74:AS75"/>
    <mergeCell ref="AR74:AR75"/>
    <mergeCell ref="AQ74:AQ75"/>
    <mergeCell ref="AP74:AP75"/>
    <mergeCell ref="AO74:AO75"/>
    <mergeCell ref="AN74:AN75"/>
    <mergeCell ref="AM74:AM75"/>
    <mergeCell ref="AL74:AL75"/>
    <mergeCell ref="AK74:AK75"/>
    <mergeCell ref="AA69:AA70"/>
    <mergeCell ref="AS71:AS72"/>
    <mergeCell ref="AR71:AR72"/>
    <mergeCell ref="AQ71:AQ72"/>
    <mergeCell ref="AP71:AP72"/>
    <mergeCell ref="AO71:AO72"/>
    <mergeCell ref="AN71:AN72"/>
    <mergeCell ref="AM71:AM72"/>
    <mergeCell ref="AL71:AL72"/>
    <mergeCell ref="AK71:AK72"/>
    <mergeCell ref="AJ71:AJ72"/>
    <mergeCell ref="AI71:AI72"/>
    <mergeCell ref="AH71:AH72"/>
    <mergeCell ref="AG71:AG72"/>
    <mergeCell ref="AF71:AF72"/>
    <mergeCell ref="AE71:AE72"/>
    <mergeCell ref="AD71:AD72"/>
    <mergeCell ref="AC71:AC72"/>
    <mergeCell ref="AB71:AB72"/>
    <mergeCell ref="AA71:AA72"/>
    <mergeCell ref="AJ69:AJ70"/>
    <mergeCell ref="AI69:AI70"/>
    <mergeCell ref="AH69:AH70"/>
    <mergeCell ref="AG69:AG70"/>
    <mergeCell ref="AF69:AF70"/>
    <mergeCell ref="AE69:AE70"/>
    <mergeCell ref="AD69:AD70"/>
    <mergeCell ref="AC69:AC70"/>
    <mergeCell ref="AB69:AB70"/>
    <mergeCell ref="AS69:AS70"/>
    <mergeCell ref="AR69:AR70"/>
    <mergeCell ref="AQ69:AQ70"/>
    <mergeCell ref="AP69:AP70"/>
    <mergeCell ref="AO69:AO70"/>
    <mergeCell ref="AN69:AN70"/>
    <mergeCell ref="AM69:AM70"/>
    <mergeCell ref="AL69:AL70"/>
    <mergeCell ref="AK69:AK70"/>
    <mergeCell ref="AA65:AA66"/>
    <mergeCell ref="AS67:AS68"/>
    <mergeCell ref="AR67:AR68"/>
    <mergeCell ref="AQ67:AQ68"/>
    <mergeCell ref="AP67:AP68"/>
    <mergeCell ref="AO67:AO68"/>
    <mergeCell ref="AN67:AN68"/>
    <mergeCell ref="AM67:AM68"/>
    <mergeCell ref="AL67:AL68"/>
    <mergeCell ref="AK67:AK68"/>
    <mergeCell ref="AJ67:AJ68"/>
    <mergeCell ref="AI67:AI68"/>
    <mergeCell ref="AH67:AH68"/>
    <mergeCell ref="AG67:AG68"/>
    <mergeCell ref="AF67:AF68"/>
    <mergeCell ref="AE67:AE68"/>
    <mergeCell ref="AD67:AD68"/>
    <mergeCell ref="AC67:AC68"/>
    <mergeCell ref="AB67:AB68"/>
    <mergeCell ref="AA67:AA68"/>
    <mergeCell ref="AJ65:AJ66"/>
    <mergeCell ref="AI65:AI66"/>
    <mergeCell ref="AH65:AH66"/>
    <mergeCell ref="AG65:AG66"/>
    <mergeCell ref="AF65:AF66"/>
    <mergeCell ref="AE65:AE66"/>
    <mergeCell ref="AD65:AD66"/>
    <mergeCell ref="AC65:AC66"/>
    <mergeCell ref="AB65:AB66"/>
    <mergeCell ref="AS65:AS66"/>
    <mergeCell ref="AR65:AR66"/>
    <mergeCell ref="AQ65:AQ66"/>
    <mergeCell ref="AP65:AP66"/>
    <mergeCell ref="AO65:AO66"/>
    <mergeCell ref="AN65:AN66"/>
    <mergeCell ref="AM65:AM66"/>
    <mergeCell ref="AL65:AL66"/>
    <mergeCell ref="AK65:AK66"/>
    <mergeCell ref="AA61:AA62"/>
    <mergeCell ref="AS63:AS64"/>
    <mergeCell ref="AR63:AR64"/>
    <mergeCell ref="AQ63:AQ64"/>
    <mergeCell ref="AP63:AP64"/>
    <mergeCell ref="AO63:AO64"/>
    <mergeCell ref="AN63:AN64"/>
    <mergeCell ref="AM63:AM64"/>
    <mergeCell ref="AL63:AL64"/>
    <mergeCell ref="AK63:AK64"/>
    <mergeCell ref="AJ63:AJ64"/>
    <mergeCell ref="AI63:AI64"/>
    <mergeCell ref="AH63:AH64"/>
    <mergeCell ref="AG63:AG64"/>
    <mergeCell ref="AF63:AF64"/>
    <mergeCell ref="AE63:AE64"/>
    <mergeCell ref="AD63:AD64"/>
    <mergeCell ref="AC63:AC64"/>
    <mergeCell ref="AB63:AB64"/>
    <mergeCell ref="AA63:AA64"/>
    <mergeCell ref="AB58:AB59"/>
    <mergeCell ref="AA58:AA59"/>
    <mergeCell ref="AJ56:AJ57"/>
    <mergeCell ref="AI56:AI57"/>
    <mergeCell ref="AH56:AH57"/>
    <mergeCell ref="AG56:AG57"/>
    <mergeCell ref="AF56:AF57"/>
    <mergeCell ref="AE56:AE57"/>
    <mergeCell ref="AD56:AD57"/>
    <mergeCell ref="AC56:AC57"/>
    <mergeCell ref="AB56:AB57"/>
    <mergeCell ref="AS56:AS57"/>
    <mergeCell ref="AR56:AR57"/>
    <mergeCell ref="AQ56:AQ57"/>
    <mergeCell ref="AJ61:AJ62"/>
    <mergeCell ref="AI61:AI62"/>
    <mergeCell ref="AH61:AH62"/>
    <mergeCell ref="AG61:AG62"/>
    <mergeCell ref="AF61:AF62"/>
    <mergeCell ref="AE61:AE62"/>
    <mergeCell ref="AD61:AD62"/>
    <mergeCell ref="AC61:AC62"/>
    <mergeCell ref="AB61:AB62"/>
    <mergeCell ref="AS61:AS62"/>
    <mergeCell ref="AR61:AR62"/>
    <mergeCell ref="AQ61:AQ62"/>
    <mergeCell ref="AP61:AP62"/>
    <mergeCell ref="AO61:AO62"/>
    <mergeCell ref="AN61:AN62"/>
    <mergeCell ref="AM61:AM62"/>
    <mergeCell ref="AL61:AL62"/>
    <mergeCell ref="AK61:AK62"/>
    <mergeCell ref="AS58:AS59"/>
    <mergeCell ref="AR58:AR59"/>
    <mergeCell ref="AQ58:AQ59"/>
    <mergeCell ref="AP58:AP59"/>
    <mergeCell ref="AO58:AO59"/>
    <mergeCell ref="AN58:AN59"/>
    <mergeCell ref="AM58:AM59"/>
    <mergeCell ref="AL58:AL59"/>
    <mergeCell ref="AK58:AK59"/>
    <mergeCell ref="AJ58:AJ59"/>
    <mergeCell ref="AI58:AI59"/>
    <mergeCell ref="AH58:AH59"/>
    <mergeCell ref="AG58:AG59"/>
    <mergeCell ref="AF58:AF59"/>
    <mergeCell ref="AE58:AE59"/>
    <mergeCell ref="AD58:AD59"/>
    <mergeCell ref="AC58:AC59"/>
    <mergeCell ref="AP56:AP57"/>
    <mergeCell ref="AO56:AO57"/>
    <mergeCell ref="AN56:AN57"/>
    <mergeCell ref="AM56:AM57"/>
    <mergeCell ref="AL56:AL57"/>
    <mergeCell ref="AK56:AK57"/>
    <mergeCell ref="AJ54:AJ55"/>
    <mergeCell ref="AI54:AI55"/>
    <mergeCell ref="AH54:AH55"/>
    <mergeCell ref="AG54:AG55"/>
    <mergeCell ref="AF54:AF55"/>
    <mergeCell ref="AE54:AE55"/>
    <mergeCell ref="AD54:AD55"/>
    <mergeCell ref="AC54:AC55"/>
    <mergeCell ref="AB54:AB55"/>
    <mergeCell ref="AS54:AS55"/>
    <mergeCell ref="AR54:AR55"/>
    <mergeCell ref="AQ54:AQ55"/>
    <mergeCell ref="AP54:AP55"/>
    <mergeCell ref="AO54:AO55"/>
    <mergeCell ref="AN54:AN55"/>
    <mergeCell ref="AM54:AM55"/>
    <mergeCell ref="AL54:AL55"/>
    <mergeCell ref="AK54:AK55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AS52:AS53"/>
    <mergeCell ref="AR52:AR53"/>
    <mergeCell ref="AQ52:AQ53"/>
    <mergeCell ref="AP52:AP53"/>
    <mergeCell ref="AO52:AO53"/>
    <mergeCell ref="AN52:AN53"/>
    <mergeCell ref="AM52:AM53"/>
    <mergeCell ref="AL52:AL53"/>
    <mergeCell ref="AK52:AK53"/>
    <mergeCell ref="AJ50:AJ51"/>
    <mergeCell ref="AI50:AI51"/>
    <mergeCell ref="AH50:AH51"/>
    <mergeCell ref="AG50:AG51"/>
    <mergeCell ref="AF50:AF51"/>
    <mergeCell ref="AE50:AE51"/>
    <mergeCell ref="AD50:AD51"/>
    <mergeCell ref="AC50:AC51"/>
    <mergeCell ref="AB50:AB51"/>
    <mergeCell ref="AS50:AS51"/>
    <mergeCell ref="AR50:AR51"/>
    <mergeCell ref="AQ50:AQ51"/>
    <mergeCell ref="AP50:AP51"/>
    <mergeCell ref="AO50:AO51"/>
    <mergeCell ref="AN50:AN51"/>
    <mergeCell ref="AM50:AM51"/>
    <mergeCell ref="AL50:AL51"/>
    <mergeCell ref="AK50:AK51"/>
    <mergeCell ref="AJ47:AJ49"/>
    <mergeCell ref="AI47:AI49"/>
    <mergeCell ref="AH47:AH49"/>
    <mergeCell ref="AG47:AG49"/>
    <mergeCell ref="AF47:AF49"/>
    <mergeCell ref="AE47:AE49"/>
    <mergeCell ref="AD47:AD49"/>
    <mergeCell ref="AC47:AC49"/>
    <mergeCell ref="AB47:AB49"/>
    <mergeCell ref="AS47:AS49"/>
    <mergeCell ref="AR47:AR49"/>
    <mergeCell ref="AQ47:AQ49"/>
    <mergeCell ref="AP47:AP49"/>
    <mergeCell ref="AO47:AO49"/>
    <mergeCell ref="AN47:AN49"/>
    <mergeCell ref="AM47:AM49"/>
    <mergeCell ref="AL47:AL49"/>
    <mergeCell ref="AK47:AK49"/>
    <mergeCell ref="AD41:AD43"/>
    <mergeCell ref="AJ38:AJ39"/>
    <mergeCell ref="AI38:AI39"/>
    <mergeCell ref="AH38:AH39"/>
    <mergeCell ref="AG38:AG39"/>
    <mergeCell ref="AF38:AF39"/>
    <mergeCell ref="AE38:AE39"/>
    <mergeCell ref="AD38:AD39"/>
    <mergeCell ref="AC38:AC39"/>
    <mergeCell ref="AB38:AB39"/>
    <mergeCell ref="AJ41:AJ43"/>
    <mergeCell ref="AJ44:AJ46"/>
    <mergeCell ref="AI44:AI46"/>
    <mergeCell ref="AI41:AI43"/>
    <mergeCell ref="AH44:AH46"/>
    <mergeCell ref="AB32:AB33"/>
    <mergeCell ref="AS32:AS33"/>
    <mergeCell ref="AR32:AR33"/>
    <mergeCell ref="AQ32:AQ33"/>
    <mergeCell ref="AP32:AP33"/>
    <mergeCell ref="AO32:AO33"/>
    <mergeCell ref="AN32:AN33"/>
    <mergeCell ref="AM32:AM33"/>
    <mergeCell ref="AL32:AL33"/>
    <mergeCell ref="AK32:AK33"/>
    <mergeCell ref="AS38:AS39"/>
    <mergeCell ref="AR38:AR39"/>
    <mergeCell ref="AQ38:AQ39"/>
    <mergeCell ref="AP38:AP39"/>
    <mergeCell ref="AO38:AO39"/>
    <mergeCell ref="AN38:AN39"/>
    <mergeCell ref="AM38:AM39"/>
    <mergeCell ref="AL38:AL39"/>
    <mergeCell ref="AK38:AK39"/>
    <mergeCell ref="AJ34:AJ35"/>
    <mergeCell ref="AI34:AI35"/>
    <mergeCell ref="AH34:AH35"/>
    <mergeCell ref="AG34:AG35"/>
    <mergeCell ref="AF34:AF35"/>
    <mergeCell ref="AE34:AE35"/>
    <mergeCell ref="AD34:AD35"/>
    <mergeCell ref="AC34:AC35"/>
    <mergeCell ref="AS29:AS31"/>
    <mergeCell ref="AR29:AR31"/>
    <mergeCell ref="AQ29:AQ31"/>
    <mergeCell ref="AP29:AP31"/>
    <mergeCell ref="AO29:AO31"/>
    <mergeCell ref="AN29:AN31"/>
    <mergeCell ref="AM29:AM31"/>
    <mergeCell ref="AL29:AL31"/>
    <mergeCell ref="AJ29:AJ31"/>
    <mergeCell ref="AK29:AK31"/>
    <mergeCell ref="AI29:AI31"/>
    <mergeCell ref="AH29:AH31"/>
    <mergeCell ref="AG29:AG31"/>
    <mergeCell ref="AF29:AF31"/>
    <mergeCell ref="AB34:AB35"/>
    <mergeCell ref="AS34:AS35"/>
    <mergeCell ref="AR34:AR35"/>
    <mergeCell ref="AQ34:AQ35"/>
    <mergeCell ref="AP34:AP35"/>
    <mergeCell ref="AO34:AO35"/>
    <mergeCell ref="AN34:AN35"/>
    <mergeCell ref="AM34:AM35"/>
    <mergeCell ref="AL34:AL35"/>
    <mergeCell ref="AK34:AK35"/>
    <mergeCell ref="AJ32:AJ33"/>
    <mergeCell ref="AI32:AI33"/>
    <mergeCell ref="AH32:AH33"/>
    <mergeCell ref="AG32:AG33"/>
    <mergeCell ref="AF32:AF33"/>
    <mergeCell ref="AE32:AE33"/>
    <mergeCell ref="AD32:AD33"/>
    <mergeCell ref="AC32:AC33"/>
    <mergeCell ref="AJ26:AJ27"/>
    <mergeCell ref="AI26:AI27"/>
    <mergeCell ref="AH26:AH27"/>
    <mergeCell ref="AG26:AG27"/>
    <mergeCell ref="AF26:AF27"/>
    <mergeCell ref="AE26:AE27"/>
    <mergeCell ref="AD26:AD27"/>
    <mergeCell ref="AC26:AC27"/>
    <mergeCell ref="AB26:AB27"/>
    <mergeCell ref="AS26:AS27"/>
    <mergeCell ref="AR26:AR27"/>
    <mergeCell ref="AQ26:AQ27"/>
    <mergeCell ref="AP26:AP27"/>
    <mergeCell ref="AO26:AO27"/>
    <mergeCell ref="AN26:AN27"/>
    <mergeCell ref="AM26:AM27"/>
    <mergeCell ref="AL26:AL27"/>
    <mergeCell ref="AK26:AK27"/>
    <mergeCell ref="AJ23:AJ25"/>
    <mergeCell ref="AI23:AI25"/>
    <mergeCell ref="AH23:AH25"/>
    <mergeCell ref="AG23:AG25"/>
    <mergeCell ref="AF23:AF25"/>
    <mergeCell ref="AE23:AE25"/>
    <mergeCell ref="AD23:AD25"/>
    <mergeCell ref="AC23:AC25"/>
    <mergeCell ref="AB23:AB25"/>
    <mergeCell ref="AS23:AS25"/>
    <mergeCell ref="AR23:AR25"/>
    <mergeCell ref="AQ23:AQ25"/>
    <mergeCell ref="AP23:AP25"/>
    <mergeCell ref="AO23:AO25"/>
    <mergeCell ref="AN23:AN25"/>
    <mergeCell ref="AM23:AM25"/>
    <mergeCell ref="AL23:AL25"/>
    <mergeCell ref="AK23:AK25"/>
    <mergeCell ref="AC20:AC22"/>
    <mergeCell ref="AB20:AB22"/>
    <mergeCell ref="AA20:AA22"/>
    <mergeCell ref="AS20:AS22"/>
    <mergeCell ref="AR20:AR22"/>
    <mergeCell ref="AQ20:AQ22"/>
    <mergeCell ref="AP20:AP22"/>
    <mergeCell ref="AO20:AO22"/>
    <mergeCell ref="AN20:AN22"/>
    <mergeCell ref="AM20:AM22"/>
    <mergeCell ref="AL20:AL22"/>
    <mergeCell ref="AK20:AK22"/>
    <mergeCell ref="AJ20:AJ22"/>
    <mergeCell ref="AI20:AI22"/>
    <mergeCell ref="AH20:AH22"/>
    <mergeCell ref="AG20:AG22"/>
    <mergeCell ref="AF20:AF22"/>
    <mergeCell ref="AE20:AE22"/>
    <mergeCell ref="AD20:AD22"/>
    <mergeCell ref="AJ17:AJ19"/>
    <mergeCell ref="AI17:AI19"/>
    <mergeCell ref="AH17:AH19"/>
    <mergeCell ref="AG17:AG19"/>
    <mergeCell ref="AF17:AF19"/>
    <mergeCell ref="AE17:AE19"/>
    <mergeCell ref="AD17:AD19"/>
    <mergeCell ref="AC17:AC19"/>
    <mergeCell ref="AB17:AB19"/>
    <mergeCell ref="AS17:AS19"/>
    <mergeCell ref="AR17:AR19"/>
    <mergeCell ref="AQ17:AQ19"/>
    <mergeCell ref="AP17:AP19"/>
    <mergeCell ref="AO17:AO19"/>
    <mergeCell ref="AN17:AN19"/>
    <mergeCell ref="AM17:AM19"/>
    <mergeCell ref="AL17:AL19"/>
    <mergeCell ref="AK17:AK19"/>
    <mergeCell ref="AJ13:AJ14"/>
    <mergeCell ref="AI13:AI14"/>
    <mergeCell ref="AH13:AH14"/>
    <mergeCell ref="AG13:AG14"/>
    <mergeCell ref="AF13:AF14"/>
    <mergeCell ref="AE13:AE14"/>
    <mergeCell ref="AD13:AD14"/>
    <mergeCell ref="AC13:AC14"/>
    <mergeCell ref="AB13:AB14"/>
    <mergeCell ref="AS13:AS14"/>
    <mergeCell ref="AR13:AR14"/>
    <mergeCell ref="AQ13:AQ14"/>
    <mergeCell ref="AP13:AP14"/>
    <mergeCell ref="AO13:AO14"/>
    <mergeCell ref="AN13:AN14"/>
    <mergeCell ref="AM13:AM14"/>
    <mergeCell ref="AL13:AL14"/>
    <mergeCell ref="AK13:AK14"/>
    <mergeCell ref="AJ10:AJ11"/>
    <mergeCell ref="AI10:AI11"/>
    <mergeCell ref="AH10:AH11"/>
    <mergeCell ref="AG10:AG11"/>
    <mergeCell ref="AF10:AF11"/>
    <mergeCell ref="AE10:AE11"/>
    <mergeCell ref="AD10:AD11"/>
    <mergeCell ref="AC10:AC11"/>
    <mergeCell ref="AB10:AB11"/>
    <mergeCell ref="AS10:AS11"/>
    <mergeCell ref="AR10:AR11"/>
    <mergeCell ref="AQ10:AQ11"/>
    <mergeCell ref="AP10:AP11"/>
    <mergeCell ref="AO10:AO11"/>
    <mergeCell ref="AN10:AN11"/>
    <mergeCell ref="AM10:AM11"/>
    <mergeCell ref="AL10:AL11"/>
    <mergeCell ref="AK10:AK11"/>
    <mergeCell ref="AM8:AM9"/>
    <mergeCell ref="AL8:AL9"/>
    <mergeCell ref="AK8:AK9"/>
    <mergeCell ref="AS8:AS9"/>
    <mergeCell ref="AR8:AR9"/>
    <mergeCell ref="AQ8:AQ9"/>
    <mergeCell ref="AP8:AP9"/>
    <mergeCell ref="AO8:AO9"/>
    <mergeCell ref="AN8:AN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V125:V126"/>
    <mergeCell ref="W125:W126"/>
    <mergeCell ref="X125:X126"/>
    <mergeCell ref="Y125:Y126"/>
    <mergeCell ref="V127:V128"/>
    <mergeCell ref="W127:W128"/>
    <mergeCell ref="X127:X128"/>
    <mergeCell ref="Y127:Y128"/>
    <mergeCell ref="AA8:AA9"/>
    <mergeCell ref="AA10:AA11"/>
    <mergeCell ref="AA13:AA14"/>
    <mergeCell ref="AA17:AA19"/>
    <mergeCell ref="AA23:AA25"/>
    <mergeCell ref="AA26:AA27"/>
    <mergeCell ref="AA32:AA33"/>
    <mergeCell ref="AA34:AA35"/>
    <mergeCell ref="AA38:AA39"/>
    <mergeCell ref="AA47:AA49"/>
    <mergeCell ref="AA50:AA51"/>
    <mergeCell ref="AA52:AA53"/>
    <mergeCell ref="AA54:AA55"/>
    <mergeCell ref="V115:V116"/>
    <mergeCell ref="W115:W116"/>
    <mergeCell ref="X115:X116"/>
    <mergeCell ref="Y115:Y116"/>
    <mergeCell ref="V117:V118"/>
    <mergeCell ref="W117:W118"/>
    <mergeCell ref="X117:X118"/>
    <mergeCell ref="Y117:Y118"/>
    <mergeCell ref="V123:V124"/>
    <mergeCell ref="W123:W124"/>
    <mergeCell ref="AA56:AA57"/>
    <mergeCell ref="X123:X124"/>
    <mergeCell ref="Y123:Y124"/>
    <mergeCell ref="V108:V109"/>
    <mergeCell ref="W108:W109"/>
    <mergeCell ref="X108:X109"/>
    <mergeCell ref="Y108:Y109"/>
    <mergeCell ref="V111:V112"/>
    <mergeCell ref="W111:W112"/>
    <mergeCell ref="X111:X112"/>
    <mergeCell ref="Y111:Y112"/>
    <mergeCell ref="V113:V114"/>
    <mergeCell ref="W113:W114"/>
    <mergeCell ref="X113:X114"/>
    <mergeCell ref="Y113:Y114"/>
    <mergeCell ref="V101:V102"/>
    <mergeCell ref="W101:W102"/>
    <mergeCell ref="X101:X102"/>
    <mergeCell ref="Y101:Y102"/>
    <mergeCell ref="V103:V104"/>
    <mergeCell ref="W103:W104"/>
    <mergeCell ref="X103:X104"/>
    <mergeCell ref="Y103:Y104"/>
    <mergeCell ref="V105:V106"/>
    <mergeCell ref="W105:W106"/>
    <mergeCell ref="X105:X106"/>
    <mergeCell ref="Y105:Y106"/>
    <mergeCell ref="V95:V96"/>
    <mergeCell ref="W95:W96"/>
    <mergeCell ref="X95:X96"/>
    <mergeCell ref="Y95:Y96"/>
    <mergeCell ref="V97:V98"/>
    <mergeCell ref="W97:W98"/>
    <mergeCell ref="X97:X98"/>
    <mergeCell ref="Y97:Y98"/>
    <mergeCell ref="V99:V100"/>
    <mergeCell ref="W99:W100"/>
    <mergeCell ref="X99:X100"/>
    <mergeCell ref="Y99:Y100"/>
    <mergeCell ref="V89:V90"/>
    <mergeCell ref="W89:W90"/>
    <mergeCell ref="X89:X90"/>
    <mergeCell ref="Y89:Y90"/>
    <mergeCell ref="V91:V92"/>
    <mergeCell ref="W91:W92"/>
    <mergeCell ref="X91:X92"/>
    <mergeCell ref="Y91:Y92"/>
    <mergeCell ref="V93:V94"/>
    <mergeCell ref="W93:W94"/>
    <mergeCell ref="X93:X94"/>
    <mergeCell ref="Y93:Y94"/>
    <mergeCell ref="V83:V84"/>
    <mergeCell ref="W83:W84"/>
    <mergeCell ref="X83:X84"/>
    <mergeCell ref="Y83:Y84"/>
    <mergeCell ref="V85:V86"/>
    <mergeCell ref="W85:W86"/>
    <mergeCell ref="X85:X86"/>
    <mergeCell ref="Y85:Y86"/>
    <mergeCell ref="V87:V88"/>
    <mergeCell ref="W87:W88"/>
    <mergeCell ref="X87:X88"/>
    <mergeCell ref="Y87:Y88"/>
    <mergeCell ref="V76:V77"/>
    <mergeCell ref="W76:W77"/>
    <mergeCell ref="X76:X77"/>
    <mergeCell ref="Y76:Y77"/>
    <mergeCell ref="V78:V79"/>
    <mergeCell ref="W78:W79"/>
    <mergeCell ref="X78:X79"/>
    <mergeCell ref="Y78:Y79"/>
    <mergeCell ref="V80:V81"/>
    <mergeCell ref="W80:W81"/>
    <mergeCell ref="X80:X81"/>
    <mergeCell ref="Y80:Y81"/>
    <mergeCell ref="V69:V70"/>
    <mergeCell ref="W69:W70"/>
    <mergeCell ref="X69:X70"/>
    <mergeCell ref="Y69:Y70"/>
    <mergeCell ref="V71:V72"/>
    <mergeCell ref="W71:W72"/>
    <mergeCell ref="X71:X72"/>
    <mergeCell ref="Y71:Y72"/>
    <mergeCell ref="V74:V75"/>
    <mergeCell ref="W74:W75"/>
    <mergeCell ref="X74:X75"/>
    <mergeCell ref="Y74:Y75"/>
    <mergeCell ref="V63:V64"/>
    <mergeCell ref="W63:W64"/>
    <mergeCell ref="X63:X64"/>
    <mergeCell ref="Y63:Y64"/>
    <mergeCell ref="V65:V66"/>
    <mergeCell ref="W65:W66"/>
    <mergeCell ref="X65:X66"/>
    <mergeCell ref="Y65:Y66"/>
    <mergeCell ref="V67:V68"/>
    <mergeCell ref="W67:W68"/>
    <mergeCell ref="X67:X68"/>
    <mergeCell ref="Y67:Y68"/>
    <mergeCell ref="W56:W57"/>
    <mergeCell ref="X56:X57"/>
    <mergeCell ref="Y56:Y57"/>
    <mergeCell ref="V58:V59"/>
    <mergeCell ref="W58:W59"/>
    <mergeCell ref="X58:X59"/>
    <mergeCell ref="Y58:Y59"/>
    <mergeCell ref="V61:V62"/>
    <mergeCell ref="W61:W62"/>
    <mergeCell ref="X61:X62"/>
    <mergeCell ref="Y61:Y62"/>
    <mergeCell ref="V50:V51"/>
    <mergeCell ref="W50:W51"/>
    <mergeCell ref="X50:X51"/>
    <mergeCell ref="Y50:Y51"/>
    <mergeCell ref="V52:V53"/>
    <mergeCell ref="W52:W53"/>
    <mergeCell ref="X52:X53"/>
    <mergeCell ref="Y52:Y53"/>
    <mergeCell ref="V54:V55"/>
    <mergeCell ref="W54:W55"/>
    <mergeCell ref="X54:X55"/>
    <mergeCell ref="Y54:Y55"/>
    <mergeCell ref="W47:W49"/>
    <mergeCell ref="X47:X49"/>
    <mergeCell ref="Y47:Y49"/>
    <mergeCell ref="Y32:Y33"/>
    <mergeCell ref="V34:V35"/>
    <mergeCell ref="W34:W35"/>
    <mergeCell ref="X34:X35"/>
    <mergeCell ref="Y34:Y35"/>
    <mergeCell ref="V38:V39"/>
    <mergeCell ref="W38:W39"/>
    <mergeCell ref="X38:X39"/>
    <mergeCell ref="Y38:Y39"/>
    <mergeCell ref="C58:C59"/>
    <mergeCell ref="D58:D59"/>
    <mergeCell ref="E58:E59"/>
    <mergeCell ref="F58:F59"/>
    <mergeCell ref="I58:I59"/>
    <mergeCell ref="J58:J59"/>
    <mergeCell ref="N34:N35"/>
    <mergeCell ref="S58:S59"/>
    <mergeCell ref="T58:T59"/>
    <mergeCell ref="K56:K57"/>
    <mergeCell ref="L56:L57"/>
    <mergeCell ref="S56:S57"/>
    <mergeCell ref="N56:N57"/>
    <mergeCell ref="T56:T57"/>
    <mergeCell ref="M58:M59"/>
    <mergeCell ref="L58:L59"/>
    <mergeCell ref="T54:T55"/>
    <mergeCell ref="C56:C57"/>
    <mergeCell ref="D56:D57"/>
    <mergeCell ref="V56:V57"/>
    <mergeCell ref="V8:V9"/>
    <mergeCell ref="W8:W9"/>
    <mergeCell ref="X8:X9"/>
    <mergeCell ref="V10:V11"/>
    <mergeCell ref="W10:W11"/>
    <mergeCell ref="X10:X11"/>
    <mergeCell ref="V13:V14"/>
    <mergeCell ref="W13:W14"/>
    <mergeCell ref="X13:X14"/>
    <mergeCell ref="V17:V19"/>
    <mergeCell ref="W17:W19"/>
    <mergeCell ref="X17:X19"/>
    <mergeCell ref="V20:V22"/>
    <mergeCell ref="W20:W22"/>
    <mergeCell ref="X20:X22"/>
    <mergeCell ref="V23:V25"/>
    <mergeCell ref="W23:W25"/>
    <mergeCell ref="X23:X25"/>
    <mergeCell ref="C71:C72"/>
    <mergeCell ref="D71:D72"/>
    <mergeCell ref="E71:E72"/>
    <mergeCell ref="F71:F72"/>
    <mergeCell ref="I71:I72"/>
    <mergeCell ref="L71:L72"/>
    <mergeCell ref="M71:M72"/>
    <mergeCell ref="C69:C70"/>
    <mergeCell ref="D69:D70"/>
    <mergeCell ref="E69:E70"/>
    <mergeCell ref="F69:F70"/>
    <mergeCell ref="H69:H70"/>
    <mergeCell ref="I69:I70"/>
    <mergeCell ref="K58:K59"/>
    <mergeCell ref="G58:G59"/>
    <mergeCell ref="H58:H59"/>
    <mergeCell ref="H63:H64"/>
    <mergeCell ref="G69:G70"/>
    <mergeCell ref="H71:H72"/>
    <mergeCell ref="J71:J72"/>
    <mergeCell ref="K71:K72"/>
    <mergeCell ref="G71:G72"/>
    <mergeCell ref="H67:H68"/>
    <mergeCell ref="E67:E68"/>
    <mergeCell ref="F67:F68"/>
    <mergeCell ref="I67:I68"/>
    <mergeCell ref="C63:C64"/>
    <mergeCell ref="D63:D64"/>
    <mergeCell ref="E63:E64"/>
    <mergeCell ref="F63:F64"/>
    <mergeCell ref="I63:I64"/>
    <mergeCell ref="J63:J64"/>
    <mergeCell ref="J85:J86"/>
    <mergeCell ref="N85:N86"/>
    <mergeCell ref="J74:J75"/>
    <mergeCell ref="N74:N75"/>
    <mergeCell ref="N76:N77"/>
    <mergeCell ref="K123:K124"/>
    <mergeCell ref="L123:L124"/>
    <mergeCell ref="K127:K128"/>
    <mergeCell ref="L127:L128"/>
    <mergeCell ref="J117:J118"/>
    <mergeCell ref="K117:K118"/>
    <mergeCell ref="N103:N104"/>
    <mergeCell ref="N99:N100"/>
    <mergeCell ref="J87:J88"/>
    <mergeCell ref="M108:M109"/>
    <mergeCell ref="N83:N84"/>
    <mergeCell ref="K113:K114"/>
    <mergeCell ref="L113:L114"/>
    <mergeCell ref="J113:J114"/>
    <mergeCell ref="J83:J84"/>
    <mergeCell ref="J125:J126"/>
    <mergeCell ref="N125:N126"/>
    <mergeCell ref="L74:L75"/>
    <mergeCell ref="M80:M81"/>
    <mergeCell ref="M83:M84"/>
    <mergeCell ref="M97:M98"/>
    <mergeCell ref="K108:K109"/>
    <mergeCell ref="L108:L109"/>
    <mergeCell ref="N108:N109"/>
    <mergeCell ref="J93:J94"/>
    <mergeCell ref="K93:K94"/>
    <mergeCell ref="N95:N96"/>
    <mergeCell ref="AL5:AO5"/>
    <mergeCell ref="AP5:AS5"/>
    <mergeCell ref="J8:J9"/>
    <mergeCell ref="M10:M11"/>
    <mergeCell ref="N10:N11"/>
    <mergeCell ref="O7:S7"/>
    <mergeCell ref="K32:K33"/>
    <mergeCell ref="L32:L33"/>
    <mergeCell ref="N32:N33"/>
    <mergeCell ref="T32:T33"/>
    <mergeCell ref="S32:S33"/>
    <mergeCell ref="T23:T25"/>
    <mergeCell ref="K23:K25"/>
    <mergeCell ref="L23:L25"/>
    <mergeCell ref="M23:M25"/>
    <mergeCell ref="S23:S25"/>
    <mergeCell ref="J13:J14"/>
    <mergeCell ref="K13:K14"/>
    <mergeCell ref="L13:L14"/>
    <mergeCell ref="Y8:Y9"/>
    <mergeCell ref="Y10:Y11"/>
    <mergeCell ref="Y13:Y14"/>
    <mergeCell ref="Y17:Y19"/>
    <mergeCell ref="Y20:Y22"/>
    <mergeCell ref="K10:K11"/>
    <mergeCell ref="L10:L11"/>
    <mergeCell ref="J20:J22"/>
    <mergeCell ref="J23:J25"/>
    <mergeCell ref="N13:N14"/>
    <mergeCell ref="AA5:AC5"/>
    <mergeCell ref="AD5:AG5"/>
    <mergeCell ref="AH5:AK5"/>
    <mergeCell ref="Y23:Y25"/>
    <mergeCell ref="V26:V27"/>
    <mergeCell ref="W26:W27"/>
    <mergeCell ref="X26:X27"/>
    <mergeCell ref="Y26:Y27"/>
    <mergeCell ref="V32:V33"/>
    <mergeCell ref="W32:W33"/>
    <mergeCell ref="X32:X33"/>
    <mergeCell ref="D29:D31"/>
    <mergeCell ref="E29:E31"/>
    <mergeCell ref="C10:C11"/>
    <mergeCell ref="D10:D11"/>
    <mergeCell ref="E10:E11"/>
    <mergeCell ref="F10:F11"/>
    <mergeCell ref="H10:H11"/>
    <mergeCell ref="I10:I11"/>
    <mergeCell ref="J10:J11"/>
    <mergeCell ref="C13:C14"/>
    <mergeCell ref="D13:D14"/>
    <mergeCell ref="E13:E14"/>
    <mergeCell ref="F13:F14"/>
    <mergeCell ref="H13:H14"/>
    <mergeCell ref="I13:I14"/>
    <mergeCell ref="F29:F31"/>
    <mergeCell ref="G29:G31"/>
    <mergeCell ref="I29:I31"/>
    <mergeCell ref="C23:C25"/>
    <mergeCell ref="D23:D25"/>
    <mergeCell ref="M13:M14"/>
    <mergeCell ref="C26:C27"/>
    <mergeCell ref="D26:D27"/>
    <mergeCell ref="E26:E27"/>
    <mergeCell ref="H23:H25"/>
    <mergeCell ref="H29:H31"/>
    <mergeCell ref="N50:N51"/>
    <mergeCell ref="N38:N40"/>
    <mergeCell ref="J32:J33"/>
    <mergeCell ref="M32:M33"/>
    <mergeCell ref="C32:C33"/>
    <mergeCell ref="D32:D33"/>
    <mergeCell ref="E32:E33"/>
    <mergeCell ref="F32:F33"/>
    <mergeCell ref="G32:G33"/>
    <mergeCell ref="H32:H33"/>
    <mergeCell ref="I32:I33"/>
    <mergeCell ref="F47:F49"/>
    <mergeCell ref="H47:H49"/>
    <mergeCell ref="I47:I49"/>
    <mergeCell ref="J47:J49"/>
    <mergeCell ref="K47:K49"/>
    <mergeCell ref="L47:L49"/>
    <mergeCell ref="N47:N49"/>
    <mergeCell ref="I34:I35"/>
    <mergeCell ref="K41:K43"/>
    <mergeCell ref="L41:L43"/>
    <mergeCell ref="D50:D51"/>
    <mergeCell ref="F26:F27"/>
    <mergeCell ref="H26:H27"/>
    <mergeCell ref="J34:J35"/>
    <mergeCell ref="K34:K35"/>
    <mergeCell ref="L34:L35"/>
    <mergeCell ref="E23:E25"/>
    <mergeCell ref="E38:E40"/>
    <mergeCell ref="F38:F40"/>
    <mergeCell ref="A133:A140"/>
    <mergeCell ref="B133:B136"/>
    <mergeCell ref="B137:B140"/>
    <mergeCell ref="B61:B66"/>
    <mergeCell ref="B67:B73"/>
    <mergeCell ref="B74:B79"/>
    <mergeCell ref="B80:B86"/>
    <mergeCell ref="A7:A49"/>
    <mergeCell ref="A99:A118"/>
    <mergeCell ref="B99:B106"/>
    <mergeCell ref="A119:A132"/>
    <mergeCell ref="A50:A98"/>
    <mergeCell ref="B87:B92"/>
    <mergeCell ref="B29:B37"/>
    <mergeCell ref="B38:B49"/>
    <mergeCell ref="B50:B53"/>
    <mergeCell ref="B54:B60"/>
    <mergeCell ref="B107:B118"/>
    <mergeCell ref="B93:B98"/>
    <mergeCell ref="S127:S128"/>
    <mergeCell ref="T127:T128"/>
    <mergeCell ref="B129:B132"/>
    <mergeCell ref="T125:T126"/>
    <mergeCell ref="C127:C128"/>
    <mergeCell ref="D127:D128"/>
    <mergeCell ref="E127:E128"/>
    <mergeCell ref="G127:G128"/>
    <mergeCell ref="H127:H128"/>
    <mergeCell ref="I127:I128"/>
    <mergeCell ref="K125:K126"/>
    <mergeCell ref="L125:L126"/>
    <mergeCell ref="S125:S126"/>
    <mergeCell ref="D125:D126"/>
    <mergeCell ref="E125:E126"/>
    <mergeCell ref="G125:G126"/>
    <mergeCell ref="H125:H126"/>
    <mergeCell ref="I125:I126"/>
    <mergeCell ref="B119:B128"/>
    <mergeCell ref="C123:C124"/>
    <mergeCell ref="D123:D124"/>
    <mergeCell ref="E123:E124"/>
    <mergeCell ref="G123:G124"/>
    <mergeCell ref="H123:H124"/>
    <mergeCell ref="F127:F128"/>
    <mergeCell ref="M125:M126"/>
    <mergeCell ref="M127:M128"/>
    <mergeCell ref="O123:O124"/>
    <mergeCell ref="P123:P124"/>
    <mergeCell ref="Q123:Q124"/>
    <mergeCell ref="J123:J124"/>
    <mergeCell ref="N123:N124"/>
    <mergeCell ref="C117:C118"/>
    <mergeCell ref="D117:D118"/>
    <mergeCell ref="E117:E118"/>
    <mergeCell ref="G117:G118"/>
    <mergeCell ref="S123:S124"/>
    <mergeCell ref="T123:T124"/>
    <mergeCell ref="C125:C126"/>
    <mergeCell ref="L115:L116"/>
    <mergeCell ref="M115:M116"/>
    <mergeCell ref="S115:S116"/>
    <mergeCell ref="N115:N116"/>
    <mergeCell ref="T115:T116"/>
    <mergeCell ref="H117:H118"/>
    <mergeCell ref="I117:I118"/>
    <mergeCell ref="I123:I124"/>
    <mergeCell ref="S117:S118"/>
    <mergeCell ref="N117:N118"/>
    <mergeCell ref="T117:T118"/>
    <mergeCell ref="L117:L118"/>
    <mergeCell ref="M117:M118"/>
    <mergeCell ref="C115:C116"/>
    <mergeCell ref="D115:D116"/>
    <mergeCell ref="E115:E116"/>
    <mergeCell ref="G115:G116"/>
    <mergeCell ref="K115:K116"/>
    <mergeCell ref="F117:F118"/>
    <mergeCell ref="H115:H116"/>
    <mergeCell ref="I115:I116"/>
    <mergeCell ref="J115:J116"/>
    <mergeCell ref="F123:F124"/>
    <mergeCell ref="F125:F126"/>
    <mergeCell ref="M123:M124"/>
    <mergeCell ref="C113:C114"/>
    <mergeCell ref="D113:D114"/>
    <mergeCell ref="E113:E114"/>
    <mergeCell ref="G113:G114"/>
    <mergeCell ref="H113:H114"/>
    <mergeCell ref="I113:I114"/>
    <mergeCell ref="K111:K112"/>
    <mergeCell ref="L111:L112"/>
    <mergeCell ref="T113:T114"/>
    <mergeCell ref="S113:S114"/>
    <mergeCell ref="N113:N114"/>
    <mergeCell ref="N111:N112"/>
    <mergeCell ref="F113:F114"/>
    <mergeCell ref="M113:M114"/>
    <mergeCell ref="F115:F116"/>
    <mergeCell ref="T105:T106"/>
    <mergeCell ref="D108:D109"/>
    <mergeCell ref="E108:E109"/>
    <mergeCell ref="F108:F109"/>
    <mergeCell ref="G108:G109"/>
    <mergeCell ref="H108:H109"/>
    <mergeCell ref="I108:I109"/>
    <mergeCell ref="K105:K106"/>
    <mergeCell ref="L105:L106"/>
    <mergeCell ref="S105:S106"/>
    <mergeCell ref="C105:C106"/>
    <mergeCell ref="D105:D106"/>
    <mergeCell ref="E105:E106"/>
    <mergeCell ref="H105:H106"/>
    <mergeCell ref="I105:I106"/>
    <mergeCell ref="T108:T109"/>
    <mergeCell ref="D111:D112"/>
    <mergeCell ref="E111:E112"/>
    <mergeCell ref="G111:G112"/>
    <mergeCell ref="H111:H112"/>
    <mergeCell ref="I111:I112"/>
    <mergeCell ref="T103:T104"/>
    <mergeCell ref="N101:N102"/>
    <mergeCell ref="T101:T102"/>
    <mergeCell ref="C103:C104"/>
    <mergeCell ref="D103:D104"/>
    <mergeCell ref="E103:E104"/>
    <mergeCell ref="H103:H104"/>
    <mergeCell ref="I103:I104"/>
    <mergeCell ref="J101:J102"/>
    <mergeCell ref="K101:K102"/>
    <mergeCell ref="L101:L102"/>
    <mergeCell ref="S101:S102"/>
    <mergeCell ref="K103:K104"/>
    <mergeCell ref="L103:L104"/>
    <mergeCell ref="S103:S104"/>
    <mergeCell ref="J103:J104"/>
    <mergeCell ref="Q103:Q104"/>
    <mergeCell ref="C108:C109"/>
    <mergeCell ref="J108:J109"/>
    <mergeCell ref="C111:C112"/>
    <mergeCell ref="F111:F112"/>
    <mergeCell ref="J111:J112"/>
    <mergeCell ref="M111:M112"/>
    <mergeCell ref="O108:O109"/>
    <mergeCell ref="P108:P109"/>
    <mergeCell ref="C101:C102"/>
    <mergeCell ref="D101:D102"/>
    <mergeCell ref="E101:E102"/>
    <mergeCell ref="H101:H102"/>
    <mergeCell ref="I101:I102"/>
    <mergeCell ref="H99:H100"/>
    <mergeCell ref="I99:I100"/>
    <mergeCell ref="J99:J100"/>
    <mergeCell ref="K99:K100"/>
    <mergeCell ref="C99:C100"/>
    <mergeCell ref="D99:D100"/>
    <mergeCell ref="E99:E100"/>
    <mergeCell ref="L99:L100"/>
    <mergeCell ref="S99:S100"/>
    <mergeCell ref="Q101:Q102"/>
    <mergeCell ref="C91:C92"/>
    <mergeCell ref="D91:D92"/>
    <mergeCell ref="E91:E92"/>
    <mergeCell ref="H91:H92"/>
    <mergeCell ref="J91:J92"/>
    <mergeCell ref="M93:M94"/>
    <mergeCell ref="F95:F96"/>
    <mergeCell ref="G95:G96"/>
    <mergeCell ref="I95:I96"/>
    <mergeCell ref="M95:M96"/>
    <mergeCell ref="F97:F98"/>
    <mergeCell ref="S91:S92"/>
    <mergeCell ref="C93:C94"/>
    <mergeCell ref="D93:D94"/>
    <mergeCell ref="C95:C96"/>
    <mergeCell ref="D95:D96"/>
    <mergeCell ref="E95:E96"/>
    <mergeCell ref="H95:H96"/>
    <mergeCell ref="J95:J96"/>
    <mergeCell ref="C97:C98"/>
    <mergeCell ref="I85:I86"/>
    <mergeCell ref="F85:F86"/>
    <mergeCell ref="G85:G86"/>
    <mergeCell ref="G97:G98"/>
    <mergeCell ref="I97:I98"/>
    <mergeCell ref="S108:S109"/>
    <mergeCell ref="E97:E98"/>
    <mergeCell ref="H97:H98"/>
    <mergeCell ref="N97:N98"/>
    <mergeCell ref="K97:K98"/>
    <mergeCell ref="L97:L98"/>
    <mergeCell ref="S97:S98"/>
    <mergeCell ref="L93:L94"/>
    <mergeCell ref="S93:S94"/>
    <mergeCell ref="K95:K96"/>
    <mergeCell ref="L95:L96"/>
    <mergeCell ref="S95:S96"/>
    <mergeCell ref="J97:J98"/>
    <mergeCell ref="E93:E94"/>
    <mergeCell ref="F93:F94"/>
    <mergeCell ref="G93:G94"/>
    <mergeCell ref="I93:I94"/>
    <mergeCell ref="H93:H94"/>
    <mergeCell ref="N93:N94"/>
    <mergeCell ref="S87:S88"/>
    <mergeCell ref="F99:F100"/>
    <mergeCell ref="F101:F102"/>
    <mergeCell ref="F103:F104"/>
    <mergeCell ref="F105:F106"/>
    <mergeCell ref="G99:G100"/>
    <mergeCell ref="G101:G102"/>
    <mergeCell ref="G103:G104"/>
    <mergeCell ref="D97:D98"/>
    <mergeCell ref="F91:F92"/>
    <mergeCell ref="G91:G92"/>
    <mergeCell ref="I91:I92"/>
    <mergeCell ref="M91:M92"/>
    <mergeCell ref="N91:N92"/>
    <mergeCell ref="O91:O92"/>
    <mergeCell ref="P91:P92"/>
    <mergeCell ref="Q91:Q92"/>
    <mergeCell ref="R91:R92"/>
    <mergeCell ref="O93:O94"/>
    <mergeCell ref="P93:P94"/>
    <mergeCell ref="O95:O96"/>
    <mergeCell ref="O97:O98"/>
    <mergeCell ref="P95:P96"/>
    <mergeCell ref="P97:P98"/>
    <mergeCell ref="Q93:Q94"/>
    <mergeCell ref="Q95:Q96"/>
    <mergeCell ref="Q97:Q98"/>
    <mergeCell ref="K91:K92"/>
    <mergeCell ref="L91:L92"/>
    <mergeCell ref="C89:C90"/>
    <mergeCell ref="D89:D90"/>
    <mergeCell ref="E89:E90"/>
    <mergeCell ref="H89:H90"/>
    <mergeCell ref="N89:N90"/>
    <mergeCell ref="T89:T90"/>
    <mergeCell ref="J89:J90"/>
    <mergeCell ref="K89:K90"/>
    <mergeCell ref="L89:L90"/>
    <mergeCell ref="S89:S90"/>
    <mergeCell ref="C87:C88"/>
    <mergeCell ref="D87:D88"/>
    <mergeCell ref="E87:E88"/>
    <mergeCell ref="H87:H88"/>
    <mergeCell ref="F89:F90"/>
    <mergeCell ref="G89:G90"/>
    <mergeCell ref="I89:I90"/>
    <mergeCell ref="M89:M90"/>
    <mergeCell ref="O89:O90"/>
    <mergeCell ref="P89:P90"/>
    <mergeCell ref="Q89:Q90"/>
    <mergeCell ref="R87:R88"/>
    <mergeCell ref="R89:R90"/>
    <mergeCell ref="Q87:Q88"/>
    <mergeCell ref="G87:G88"/>
    <mergeCell ref="F87:F88"/>
    <mergeCell ref="I87:I88"/>
    <mergeCell ref="K87:K88"/>
    <mergeCell ref="L87:L88"/>
    <mergeCell ref="T87:T88"/>
    <mergeCell ref="C76:C77"/>
    <mergeCell ref="D76:D77"/>
    <mergeCell ref="E76:E77"/>
    <mergeCell ref="I76:I77"/>
    <mergeCell ref="O78:O79"/>
    <mergeCell ref="I78:I79"/>
    <mergeCell ref="O80:O81"/>
    <mergeCell ref="P80:P81"/>
    <mergeCell ref="T83:T84"/>
    <mergeCell ref="C85:C86"/>
    <mergeCell ref="D85:D86"/>
    <mergeCell ref="E85:E86"/>
    <mergeCell ref="H85:H86"/>
    <mergeCell ref="T85:T86"/>
    <mergeCell ref="K85:K86"/>
    <mergeCell ref="L85:L86"/>
    <mergeCell ref="S85:S86"/>
    <mergeCell ref="C83:C84"/>
    <mergeCell ref="D83:D84"/>
    <mergeCell ref="E83:E84"/>
    <mergeCell ref="H83:H84"/>
    <mergeCell ref="K83:K84"/>
    <mergeCell ref="L83:L84"/>
    <mergeCell ref="S83:S84"/>
    <mergeCell ref="G82:G84"/>
    <mergeCell ref="F83:F84"/>
    <mergeCell ref="I83:I84"/>
    <mergeCell ref="M85:M86"/>
    <mergeCell ref="O83:O84"/>
    <mergeCell ref="O85:O86"/>
    <mergeCell ref="P83:P84"/>
    <mergeCell ref="P85:P86"/>
    <mergeCell ref="C80:C82"/>
    <mergeCell ref="D80:D82"/>
    <mergeCell ref="E80:E82"/>
    <mergeCell ref="H80:H82"/>
    <mergeCell ref="T80:T82"/>
    <mergeCell ref="J80:J82"/>
    <mergeCell ref="K80:K82"/>
    <mergeCell ref="L80:L82"/>
    <mergeCell ref="S80:S82"/>
    <mergeCell ref="N80:N82"/>
    <mergeCell ref="C78:C79"/>
    <mergeCell ref="D78:D79"/>
    <mergeCell ref="E78:E79"/>
    <mergeCell ref="J78:J79"/>
    <mergeCell ref="K78:K79"/>
    <mergeCell ref="F78:F79"/>
    <mergeCell ref="G78:G79"/>
    <mergeCell ref="H78:H79"/>
    <mergeCell ref="M78:M79"/>
    <mergeCell ref="G80:G81"/>
    <mergeCell ref="F80:F81"/>
    <mergeCell ref="I80:I81"/>
    <mergeCell ref="T78:T79"/>
    <mergeCell ref="C74:C75"/>
    <mergeCell ref="D74:D75"/>
    <mergeCell ref="E74:E75"/>
    <mergeCell ref="I74:I75"/>
    <mergeCell ref="K74:K75"/>
    <mergeCell ref="F74:F75"/>
    <mergeCell ref="F76:F77"/>
    <mergeCell ref="G74:G75"/>
    <mergeCell ref="G76:G77"/>
    <mergeCell ref="H74:H75"/>
    <mergeCell ref="H76:H77"/>
    <mergeCell ref="J76:J77"/>
    <mergeCell ref="K76:K77"/>
    <mergeCell ref="L76:L77"/>
    <mergeCell ref="T67:T68"/>
    <mergeCell ref="J67:J68"/>
    <mergeCell ref="K67:K68"/>
    <mergeCell ref="L67:L68"/>
    <mergeCell ref="M67:M68"/>
    <mergeCell ref="S67:S68"/>
    <mergeCell ref="P69:P70"/>
    <mergeCell ref="P71:P72"/>
    <mergeCell ref="Q71:Q72"/>
    <mergeCell ref="Q69:Q70"/>
    <mergeCell ref="R69:R70"/>
    <mergeCell ref="R71:R72"/>
    <mergeCell ref="S69:S70"/>
    <mergeCell ref="S71:S72"/>
    <mergeCell ref="T71:T72"/>
    <mergeCell ref="T69:T70"/>
    <mergeCell ref="C67:C68"/>
    <mergeCell ref="D67:D68"/>
    <mergeCell ref="N65:N66"/>
    <mergeCell ref="N67:N68"/>
    <mergeCell ref="T65:T66"/>
    <mergeCell ref="J65:J66"/>
    <mergeCell ref="K65:K66"/>
    <mergeCell ref="L65:L66"/>
    <mergeCell ref="M65:M66"/>
    <mergeCell ref="C65:C66"/>
    <mergeCell ref="D65:D66"/>
    <mergeCell ref="E65:E66"/>
    <mergeCell ref="F65:F66"/>
    <mergeCell ref="I65:I66"/>
    <mergeCell ref="G65:G66"/>
    <mergeCell ref="H65:H66"/>
    <mergeCell ref="G67:G68"/>
    <mergeCell ref="P67:P68"/>
    <mergeCell ref="Q67:Q68"/>
    <mergeCell ref="R67:R68"/>
    <mergeCell ref="P65:P66"/>
    <mergeCell ref="Q65:Q66"/>
    <mergeCell ref="R65:R66"/>
    <mergeCell ref="J61:J62"/>
    <mergeCell ref="K61:K62"/>
    <mergeCell ref="L61:L62"/>
    <mergeCell ref="M61:M62"/>
    <mergeCell ref="S61:S62"/>
    <mergeCell ref="N61:N62"/>
    <mergeCell ref="C61:C62"/>
    <mergeCell ref="D61:D62"/>
    <mergeCell ref="E61:E62"/>
    <mergeCell ref="F61:F62"/>
    <mergeCell ref="I61:I62"/>
    <mergeCell ref="G61:G62"/>
    <mergeCell ref="G63:G64"/>
    <mergeCell ref="H61:H62"/>
    <mergeCell ref="O61:O62"/>
    <mergeCell ref="P61:P62"/>
    <mergeCell ref="P63:P64"/>
    <mergeCell ref="Q61:Q62"/>
    <mergeCell ref="Q63:Q64"/>
    <mergeCell ref="R61:R62"/>
    <mergeCell ref="R63:R64"/>
    <mergeCell ref="E56:E57"/>
    <mergeCell ref="F56:F57"/>
    <mergeCell ref="I56:I57"/>
    <mergeCell ref="J54:J55"/>
    <mergeCell ref="K54:K55"/>
    <mergeCell ref="L54:L55"/>
    <mergeCell ref="S54:S55"/>
    <mergeCell ref="C54:C55"/>
    <mergeCell ref="D54:D55"/>
    <mergeCell ref="J56:J57"/>
    <mergeCell ref="G54:G55"/>
    <mergeCell ref="G56:G57"/>
    <mergeCell ref="H54:H55"/>
    <mergeCell ref="H56:H57"/>
    <mergeCell ref="M54:M55"/>
    <mergeCell ref="M56:M57"/>
    <mergeCell ref="N54:N55"/>
    <mergeCell ref="E54:E55"/>
    <mergeCell ref="F54:F55"/>
    <mergeCell ref="I54:I55"/>
    <mergeCell ref="C52:C53"/>
    <mergeCell ref="D52:D53"/>
    <mergeCell ref="E52:E53"/>
    <mergeCell ref="F52:F53"/>
    <mergeCell ref="I52:I53"/>
    <mergeCell ref="I50:I51"/>
    <mergeCell ref="J50:J51"/>
    <mergeCell ref="K50:K51"/>
    <mergeCell ref="L50:L51"/>
    <mergeCell ref="C50:C51"/>
    <mergeCell ref="E50:E51"/>
    <mergeCell ref="F50:F51"/>
    <mergeCell ref="S52:S53"/>
    <mergeCell ref="N52:N53"/>
    <mergeCell ref="T52:T53"/>
    <mergeCell ref="J52:J53"/>
    <mergeCell ref="K52:K53"/>
    <mergeCell ref="L52:L53"/>
    <mergeCell ref="G52:G53"/>
    <mergeCell ref="H50:H51"/>
    <mergeCell ref="H52:H53"/>
    <mergeCell ref="M50:M51"/>
    <mergeCell ref="M52:M53"/>
    <mergeCell ref="S50:S51"/>
    <mergeCell ref="H38:H40"/>
    <mergeCell ref="I38:I40"/>
    <mergeCell ref="M34:M35"/>
    <mergeCell ref="S34:S35"/>
    <mergeCell ref="C34:C35"/>
    <mergeCell ref="D34:D35"/>
    <mergeCell ref="E34:E35"/>
    <mergeCell ref="F34:F35"/>
    <mergeCell ref="G34:G35"/>
    <mergeCell ref="H34:H35"/>
    <mergeCell ref="T47:T49"/>
    <mergeCell ref="N44:N46"/>
    <mergeCell ref="T44:T46"/>
    <mergeCell ref="C47:C49"/>
    <mergeCell ref="D47:D49"/>
    <mergeCell ref="E47:E49"/>
    <mergeCell ref="I44:I46"/>
    <mergeCell ref="J44:J46"/>
    <mergeCell ref="C44:C46"/>
    <mergeCell ref="D44:D46"/>
    <mergeCell ref="O47:O49"/>
    <mergeCell ref="P47:P49"/>
    <mergeCell ref="Q47:Q49"/>
    <mergeCell ref="R47:R49"/>
    <mergeCell ref="S47:S49"/>
    <mergeCell ref="K44:K46"/>
    <mergeCell ref="L44:L46"/>
    <mergeCell ref="O44:O46"/>
    <mergeCell ref="P44:P46"/>
    <mergeCell ref="Q44:Q46"/>
    <mergeCell ref="R44:R46"/>
    <mergeCell ref="S44:S46"/>
    <mergeCell ref="C29:C31"/>
    <mergeCell ref="J26:J27"/>
    <mergeCell ref="K26:K27"/>
    <mergeCell ref="L26:L27"/>
    <mergeCell ref="N29:N31"/>
    <mergeCell ref="I23:I25"/>
    <mergeCell ref="P23:P25"/>
    <mergeCell ref="Q23:Q25"/>
    <mergeCell ref="R23:R25"/>
    <mergeCell ref="P26:P27"/>
    <mergeCell ref="Q26:Q27"/>
    <mergeCell ref="R26:R27"/>
    <mergeCell ref="T41:T43"/>
    <mergeCell ref="E44:E46"/>
    <mergeCell ref="F44:F46"/>
    <mergeCell ref="H44:H46"/>
    <mergeCell ref="H41:H43"/>
    <mergeCell ref="I41:I43"/>
    <mergeCell ref="J41:J43"/>
    <mergeCell ref="C41:C43"/>
    <mergeCell ref="D41:D43"/>
    <mergeCell ref="E41:E43"/>
    <mergeCell ref="F41:F43"/>
    <mergeCell ref="N41:N43"/>
    <mergeCell ref="O42:O43"/>
    <mergeCell ref="P41:P43"/>
    <mergeCell ref="S26:S27"/>
    <mergeCell ref="T26:T27"/>
    <mergeCell ref="T38:T40"/>
    <mergeCell ref="T34:T35"/>
    <mergeCell ref="C38:C40"/>
    <mergeCell ref="D38:D40"/>
    <mergeCell ref="M8:M9"/>
    <mergeCell ref="N8:N9"/>
    <mergeCell ref="G23:G25"/>
    <mergeCell ref="G26:G27"/>
    <mergeCell ref="F23:F25"/>
    <mergeCell ref="G38:G40"/>
    <mergeCell ref="G41:G43"/>
    <mergeCell ref="G44:G46"/>
    <mergeCell ref="G47:G49"/>
    <mergeCell ref="G50:G51"/>
    <mergeCell ref="M38:M40"/>
    <mergeCell ref="M41:M43"/>
    <mergeCell ref="M44:M46"/>
    <mergeCell ref="M47:M49"/>
    <mergeCell ref="P17:P19"/>
    <mergeCell ref="M20:M22"/>
    <mergeCell ref="S20:S22"/>
    <mergeCell ref="M26:M27"/>
    <mergeCell ref="N26:N27"/>
    <mergeCell ref="N17:N19"/>
    <mergeCell ref="P10:P11"/>
    <mergeCell ref="Q10:Q11"/>
    <mergeCell ref="R10:R11"/>
    <mergeCell ref="S10:S11"/>
    <mergeCell ref="I17:I19"/>
    <mergeCell ref="I26:I27"/>
    <mergeCell ref="R34:R35"/>
    <mergeCell ref="Q17:Q19"/>
    <mergeCell ref="P13:P14"/>
    <mergeCell ref="Q13:Q14"/>
    <mergeCell ref="R13:R14"/>
    <mergeCell ref="S13:S14"/>
    <mergeCell ref="T10:T11"/>
    <mergeCell ref="S17:S19"/>
    <mergeCell ref="J38:J40"/>
    <mergeCell ref="K38:K40"/>
    <mergeCell ref="L38:L40"/>
    <mergeCell ref="T17:T19"/>
    <mergeCell ref="J17:J19"/>
    <mergeCell ref="K17:K19"/>
    <mergeCell ref="L17:L19"/>
    <mergeCell ref="M17:M19"/>
    <mergeCell ref="N20:N22"/>
    <mergeCell ref="T20:T22"/>
    <mergeCell ref="K20:K22"/>
    <mergeCell ref="L20:L22"/>
    <mergeCell ref="N23:N25"/>
    <mergeCell ref="T29:T31"/>
    <mergeCell ref="J29:J31"/>
    <mergeCell ref="K29:K31"/>
    <mergeCell ref="L29:L31"/>
    <mergeCell ref="M29:M31"/>
    <mergeCell ref="T13:T14"/>
    <mergeCell ref="O29:O31"/>
    <mergeCell ref="O32:O33"/>
    <mergeCell ref="O34:O35"/>
    <mergeCell ref="P29:P31"/>
    <mergeCell ref="Q29:Q31"/>
    <mergeCell ref="R29:R31"/>
    <mergeCell ref="P32:P33"/>
    <mergeCell ref="Q32:Q33"/>
    <mergeCell ref="R32:R33"/>
    <mergeCell ref="P34:P35"/>
    <mergeCell ref="Q34:Q35"/>
    <mergeCell ref="T8:T9"/>
    <mergeCell ref="H8:H9"/>
    <mergeCell ref="I8:I9"/>
    <mergeCell ref="L8:L9"/>
    <mergeCell ref="C8:C9"/>
    <mergeCell ref="D8:D9"/>
    <mergeCell ref="E8:E9"/>
    <mergeCell ref="F8:F9"/>
    <mergeCell ref="K8:K9"/>
    <mergeCell ref="G8:G9"/>
    <mergeCell ref="O10:O11"/>
    <mergeCell ref="O13:O14"/>
    <mergeCell ref="B7:B16"/>
    <mergeCell ref="G10:G11"/>
    <mergeCell ref="G13:G14"/>
    <mergeCell ref="F17:F19"/>
    <mergeCell ref="F20:F22"/>
    <mergeCell ref="G17:G19"/>
    <mergeCell ref="G20:G22"/>
    <mergeCell ref="B17:B28"/>
    <mergeCell ref="O17:O19"/>
    <mergeCell ref="O23:O25"/>
    <mergeCell ref="O26:O27"/>
    <mergeCell ref="C20:C22"/>
    <mergeCell ref="D20:D22"/>
    <mergeCell ref="E20:E22"/>
    <mergeCell ref="H20:H22"/>
    <mergeCell ref="I20:I22"/>
    <mergeCell ref="C17:C19"/>
    <mergeCell ref="D17:D19"/>
    <mergeCell ref="E17:E19"/>
    <mergeCell ref="H17:H19"/>
    <mergeCell ref="R17:R19"/>
    <mergeCell ref="O20:O22"/>
    <mergeCell ref="P20:P22"/>
    <mergeCell ref="Q20:Q22"/>
    <mergeCell ref="R20:R22"/>
    <mergeCell ref="S29:S31"/>
    <mergeCell ref="O56:O57"/>
    <mergeCell ref="O58:O59"/>
    <mergeCell ref="N58:N59"/>
    <mergeCell ref="Q54:Q55"/>
    <mergeCell ref="R54:R55"/>
    <mergeCell ref="P58:P59"/>
    <mergeCell ref="P56:P57"/>
    <mergeCell ref="Q56:Q57"/>
    <mergeCell ref="Q58:Q59"/>
    <mergeCell ref="R56:R57"/>
    <mergeCell ref="R58:R59"/>
    <mergeCell ref="O50:O51"/>
    <mergeCell ref="O52:O53"/>
    <mergeCell ref="P50:P51"/>
    <mergeCell ref="P52:P53"/>
    <mergeCell ref="Q50:Q51"/>
    <mergeCell ref="Q52:Q53"/>
    <mergeCell ref="R50:R51"/>
    <mergeCell ref="R52:R53"/>
    <mergeCell ref="O54:O55"/>
    <mergeCell ref="P54:P55"/>
    <mergeCell ref="O38:O40"/>
    <mergeCell ref="P38:P39"/>
    <mergeCell ref="Q38:Q39"/>
    <mergeCell ref="R38:R39"/>
    <mergeCell ref="S38:S39"/>
    <mergeCell ref="J69:J70"/>
    <mergeCell ref="K69:K70"/>
    <mergeCell ref="L69:L70"/>
    <mergeCell ref="M69:M70"/>
    <mergeCell ref="N69:N70"/>
    <mergeCell ref="K63:K64"/>
    <mergeCell ref="L63:L64"/>
    <mergeCell ref="M63:M64"/>
    <mergeCell ref="N71:N72"/>
    <mergeCell ref="R105:R106"/>
    <mergeCell ref="P74:P75"/>
    <mergeCell ref="P76:P77"/>
    <mergeCell ref="P78:P79"/>
    <mergeCell ref="Q74:Q75"/>
    <mergeCell ref="Q76:Q77"/>
    <mergeCell ref="Q78:Q79"/>
    <mergeCell ref="R74:R75"/>
    <mergeCell ref="R76:R77"/>
    <mergeCell ref="R78:R79"/>
    <mergeCell ref="O74:O75"/>
    <mergeCell ref="O76:O77"/>
    <mergeCell ref="R80:R81"/>
    <mergeCell ref="R83:R84"/>
    <mergeCell ref="R85:R86"/>
    <mergeCell ref="M87:M88"/>
    <mergeCell ref="N87:N88"/>
    <mergeCell ref="O87:O88"/>
    <mergeCell ref="N63:N64"/>
    <mergeCell ref="M76:M77"/>
    <mergeCell ref="M74:M75"/>
    <mergeCell ref="L78:L79"/>
    <mergeCell ref="N78:N79"/>
    <mergeCell ref="G105:G106"/>
    <mergeCell ref="M99:M100"/>
    <mergeCell ref="M101:M102"/>
    <mergeCell ref="M103:M104"/>
    <mergeCell ref="M105:M106"/>
    <mergeCell ref="O99:O100"/>
    <mergeCell ref="O101:O102"/>
    <mergeCell ref="O103:O104"/>
    <mergeCell ref="O105:O106"/>
    <mergeCell ref="P99:P100"/>
    <mergeCell ref="P101:P102"/>
    <mergeCell ref="P103:P104"/>
    <mergeCell ref="P105:P106"/>
    <mergeCell ref="O127:O128"/>
    <mergeCell ref="P127:P128"/>
    <mergeCell ref="Q127:Q128"/>
    <mergeCell ref="R127:R128"/>
    <mergeCell ref="Q115:Q116"/>
    <mergeCell ref="Q117:Q118"/>
    <mergeCell ref="R117:R118"/>
    <mergeCell ref="R115:R116"/>
    <mergeCell ref="O115:O116"/>
    <mergeCell ref="O117:O118"/>
    <mergeCell ref="P115:P116"/>
    <mergeCell ref="P117:P118"/>
    <mergeCell ref="J127:J128"/>
    <mergeCell ref="N127:N128"/>
    <mergeCell ref="J105:J106"/>
    <mergeCell ref="N105:N106"/>
    <mergeCell ref="Q111:Q112"/>
    <mergeCell ref="R111:R112"/>
    <mergeCell ref="O113:O114"/>
    <mergeCell ref="X29:X31"/>
    <mergeCell ref="W29:W31"/>
    <mergeCell ref="Q108:Q109"/>
    <mergeCell ref="R108:R109"/>
    <mergeCell ref="O111:O112"/>
    <mergeCell ref="P111:P112"/>
    <mergeCell ref="P113:P114"/>
    <mergeCell ref="Q113:Q114"/>
    <mergeCell ref="R113:R114"/>
    <mergeCell ref="Q80:Q81"/>
    <mergeCell ref="Q83:Q84"/>
    <mergeCell ref="Q85:Q86"/>
    <mergeCell ref="P87:P88"/>
    <mergeCell ref="R93:R94"/>
    <mergeCell ref="R95:R96"/>
    <mergeCell ref="R97:R98"/>
    <mergeCell ref="Q99:Q100"/>
    <mergeCell ref="O71:O72"/>
    <mergeCell ref="O69:O70"/>
    <mergeCell ref="Q105:Q106"/>
    <mergeCell ref="R99:R100"/>
    <mergeCell ref="R101:R102"/>
    <mergeCell ref="R103:R104"/>
    <mergeCell ref="S65:S66"/>
    <mergeCell ref="T93:T94"/>
    <mergeCell ref="T99:T100"/>
    <mergeCell ref="T91:T92"/>
    <mergeCell ref="T111:T112"/>
    <mergeCell ref="T95:T96"/>
    <mergeCell ref="T97:T98"/>
    <mergeCell ref="S111:S112"/>
    <mergeCell ref="V47:V49"/>
    <mergeCell ref="M1:N6"/>
    <mergeCell ref="J1:L6"/>
    <mergeCell ref="G1:I1"/>
    <mergeCell ref="G2:I2"/>
    <mergeCell ref="G3:I3"/>
    <mergeCell ref="G4:I4"/>
    <mergeCell ref="G5:I5"/>
    <mergeCell ref="G6:I6"/>
    <mergeCell ref="AE29:AE31"/>
    <mergeCell ref="AD29:AD31"/>
    <mergeCell ref="AC29:AC31"/>
    <mergeCell ref="AB29:AB31"/>
    <mergeCell ref="AA29:AA31"/>
    <mergeCell ref="R123:R124"/>
    <mergeCell ref="O125:O126"/>
    <mergeCell ref="P125:P126"/>
    <mergeCell ref="Q125:Q126"/>
    <mergeCell ref="R125:R126"/>
    <mergeCell ref="O67:O68"/>
    <mergeCell ref="O63:O64"/>
    <mergeCell ref="O65:O66"/>
    <mergeCell ref="T50:T51"/>
    <mergeCell ref="S63:S64"/>
    <mergeCell ref="T63:T64"/>
    <mergeCell ref="T61:T62"/>
    <mergeCell ref="T74:T75"/>
    <mergeCell ref="T76:T77"/>
    <mergeCell ref="S74:S75"/>
    <mergeCell ref="S76:S77"/>
    <mergeCell ref="S78:S79"/>
    <mergeCell ref="V29:V31"/>
    <mergeCell ref="Y29:Y31"/>
  </mergeCells>
  <conditionalFormatting sqref="X12:X13 X8 X15:X17 X20 X23 X26 X28:X29 X32 X34 X36:X38 X40:X41 X44 X47 X50 X52 X54 X56 X58 X60:X61 X63 X65 X67 X69 X71 X73:X74 X76 X78 X80 X82:X83 X85 X87 X89 X91 X93 X95 X97 X99 X101 X103 X105 X107:X108 X110:X111 X113 X115 X117 X119:X123 X125 X127 X129:X140 X10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{718EFEE4-89F2-4E7F-82A5-EB534D31A1C0}</x14:id>
        </ext>
      </extLst>
    </cfRule>
  </conditionalFormatting>
  <conditionalFormatting sqref="X8:X11">
    <cfRule type="dataBar" priority="1">
      <dataBar>
        <cfvo type="num" val="0"/>
        <cfvo type="num" val="1"/>
        <color theme="4" tint="0.59999389629810485"/>
      </dataBar>
      <extLst>
        <ext xmlns:x14="http://schemas.microsoft.com/office/spreadsheetml/2009/9/main" uri="{B025F937-C7B1-47D3-B67F-A62EFF666E3E}">
          <x14:id>{7387FD2F-DAB6-4824-8479-FCAF695EF57D}</x14:id>
        </ext>
      </extLst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{772AA710-F353-4A52-85D4-E90B95FAC564}</x14:id>
        </ext>
      </extLst>
    </cfRule>
    <cfRule type="dataBar" priority="3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{837FE3D1-11FE-41C7-AC95-002A8F613CDC}</x14:id>
        </ext>
      </extLst>
    </cfRule>
  </conditionalFormatting>
  <dataValidations count="2">
    <dataValidation type="list" allowBlank="1" showInputMessage="1" showErrorMessage="1" sqref="W129:W140 W8 Y8:Z8 W10 Y10:Z10 W12:W13 Y12:Z13 W15:W17 Y15:Z17 W20 Y20:Z20 W23 Y23:Z23 W26 Y26:Z26 W28:W29 Y28:Z29 Y32 W47 W34 Y34:Z34 W36:W38 Y36:Z38 W40:W41 Y40:Z41 Y44:Z44 Y129:Z140 Y47:Z47 W44 W50 Y50:Z50 W52 Y52:Z52 W54 Y54:Z54 W56 Y56:Z56 W58 Y58:Z58 W60:W61 Y60:Z61 W63 Y63:Z63 W65 Y65:Z65 W67 Y67:Z67 W69 Y69:Z69 W71 Y71:Z71 W73:W74 Y73:Z74 W76 Y76:Z76 W78 Y78:Z78 W80 Y80:Z80 W82:W83 Y82:Z83 W85 Y85:Z85 W87 Y87:Z87 W89 Y89:Z89 W91 Y91:Z91 W93 Y93:Z93 W95 Y95:Z95 W97 Y97:Z97 W99 Y99:Z99 W101 Y101:Z101 W103 Y103:Z103 W105 Y105:Z105 W107:W108 Y107:Z108 W110:W111 Y110:Z111 W113 Y113:Z113 W115 Y115:Z115 W117 Y117:Z117 W119:W123 Y119:Z123 W125 Y125:Z125 W127 Y127:Z127 Z31:Z32 W32" xr:uid="{00000000-0002-0000-0100-000000000000}">
      <formula1>"0,1,2,3,4,5,6,7,8,9,10"</formula1>
    </dataValidation>
    <dataValidation type="list" allowBlank="1" showInputMessage="1" showErrorMessage="1" sqref="V8 V10 V12:V13 V15:V17 V20 V23 V26 V28:V29 V47 V34 V36:V38 V40:V41 V129:V140 V44 V50 V52 V54 V56 V58 V60:V61 V63 V65 V67 V69 V71 V73:V74 V76 V78 V80 V82:V83 V85 V87 V89 V91 V93 V95 V97 V99 V101 V103 V105 V107:V108 V110:V111 V113 V115 V117 V119:V123 V125 V127 V32" xr:uid="{00000000-0002-0000-0100-000001000000}">
      <formula1>"0,1,2,3,4,5"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8EFEE4-89F2-4E7F-82A5-EB534D31A1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X12:X13 X8 X15:X17 X20 X23 X26 X28:X29 X32 X34 X36:X38 X40:X41 X44 X47 X50 X52 X54 X56 X58 X60:X61 X63 X65 X67 X69 X71 X73:X74 X76 X78 X80 X82:X83 X85 X87 X89 X91 X93 X95 X97 X99 X101 X103 X105 X107:X108 X110:X111 X113 X115 X117 X119:X123 X125 X127 X129:X140 X10</xm:sqref>
        </x14:conditionalFormatting>
        <x14:conditionalFormatting xmlns:xm="http://schemas.microsoft.com/office/excel/2006/main">
          <x14:cfRule type="dataBar" id="{7387FD2F-DAB6-4824-8479-FCAF695EF5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2AA710-F353-4A52-85D4-E90B95FAC5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7FE3D1-11FE-41C7-AC95-002A8F613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X8:X11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8FAE-FB0C-46AE-B060-EFFDA4AB51C4}">
  <sheetPr codeName="Planilha3"/>
  <dimension ref="A1:AO111"/>
  <sheetViews>
    <sheetView topLeftCell="O83" zoomScale="30" zoomScaleNormal="30" zoomScaleSheetLayoutView="20" workbookViewId="0">
      <selection activeCell="AR88" sqref="AR88"/>
    </sheetView>
  </sheetViews>
  <sheetFormatPr defaultRowHeight="15"/>
  <cols>
    <col min="1" max="1" width="18.140625" customWidth="1"/>
    <col min="2" max="2" width="37.85546875" customWidth="1"/>
    <col min="3" max="3" width="63.5703125" customWidth="1"/>
    <col min="4" max="4" width="60.42578125" customWidth="1"/>
    <col min="5" max="5" width="68" customWidth="1"/>
    <col min="6" max="7" width="50.7109375" customWidth="1"/>
    <col min="8" max="8" width="128.85546875" customWidth="1"/>
    <col min="9" max="12" width="50.7109375" customWidth="1"/>
    <col min="13" max="13" width="50.28515625" customWidth="1"/>
    <col min="14" max="16" width="59.7109375" customWidth="1"/>
    <col min="17" max="17" width="37.7109375" style="60" customWidth="1"/>
    <col min="18" max="18" width="20.140625" customWidth="1"/>
    <col min="19" max="19" width="28.85546875" bestFit="1" customWidth="1"/>
    <col min="20" max="20" width="34.85546875" bestFit="1" customWidth="1"/>
    <col min="21" max="21" width="27.28515625" bestFit="1" customWidth="1"/>
    <col min="22" max="22" width="46.140625" style="60" customWidth="1"/>
    <col min="23" max="31" width="22" bestFit="1" customWidth="1"/>
    <col min="32" max="39" width="24.140625" bestFit="1" customWidth="1"/>
  </cols>
  <sheetData>
    <row r="1" spans="1:41" ht="15" customHeight="1">
      <c r="A1" s="552"/>
      <c r="B1" s="553"/>
      <c r="C1" s="554"/>
      <c r="D1" s="548" t="s">
        <v>454</v>
      </c>
      <c r="E1" s="548"/>
      <c r="F1" s="549"/>
      <c r="G1" s="542" t="s">
        <v>455</v>
      </c>
      <c r="H1" s="543"/>
      <c r="I1" s="526" t="s">
        <v>456</v>
      </c>
      <c r="J1" s="526"/>
      <c r="K1" s="522" t="s">
        <v>2</v>
      </c>
      <c r="L1" s="523"/>
      <c r="M1" s="522" t="s">
        <v>3</v>
      </c>
      <c r="N1" s="523"/>
      <c r="O1" s="644"/>
      <c r="P1" s="644"/>
      <c r="Q1" s="520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5"/>
      <c r="AM1" s="75"/>
      <c r="AN1" s="68"/>
      <c r="AO1" s="68"/>
    </row>
    <row r="2" spans="1:41" ht="15" customHeight="1">
      <c r="A2" s="555"/>
      <c r="B2" s="556"/>
      <c r="C2" s="557"/>
      <c r="D2" s="550"/>
      <c r="E2" s="550"/>
      <c r="F2" s="551"/>
      <c r="G2" s="544"/>
      <c r="H2" s="545"/>
      <c r="I2" s="527"/>
      <c r="J2" s="527"/>
      <c r="K2" s="524"/>
      <c r="L2" s="525"/>
      <c r="M2" s="524"/>
      <c r="N2" s="525"/>
      <c r="O2" s="645"/>
      <c r="P2" s="645"/>
      <c r="Q2" s="521"/>
      <c r="R2" s="75"/>
      <c r="S2" s="75"/>
      <c r="T2" s="75"/>
      <c r="U2" s="75"/>
      <c r="V2" s="75"/>
      <c r="W2" s="75" t="s">
        <v>457</v>
      </c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68"/>
      <c r="AO2" s="68"/>
    </row>
    <row r="3" spans="1:41" ht="15" customHeight="1">
      <c r="A3" s="555"/>
      <c r="B3" s="556"/>
      <c r="C3" s="557"/>
      <c r="D3" s="550"/>
      <c r="E3" s="550"/>
      <c r="F3" s="551"/>
      <c r="G3" s="544"/>
      <c r="H3" s="545"/>
      <c r="I3" s="527"/>
      <c r="J3" s="527"/>
      <c r="K3" s="524"/>
      <c r="L3" s="525"/>
      <c r="M3" s="524"/>
      <c r="N3" s="525"/>
      <c r="O3" s="645"/>
      <c r="P3" s="645"/>
      <c r="Q3" s="521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68"/>
      <c r="AO3" s="68"/>
    </row>
    <row r="4" spans="1:41" ht="5.25" customHeight="1">
      <c r="A4" s="555"/>
      <c r="B4" s="556"/>
      <c r="C4" s="557"/>
      <c r="D4" s="550"/>
      <c r="E4" s="550"/>
      <c r="F4" s="551"/>
      <c r="G4" s="544"/>
      <c r="H4" s="545"/>
      <c r="I4" s="527"/>
      <c r="J4" s="527"/>
      <c r="K4" s="524"/>
      <c r="L4" s="525"/>
      <c r="M4" s="524"/>
      <c r="N4" s="525"/>
      <c r="O4" s="645"/>
      <c r="P4" s="645"/>
      <c r="Q4" s="521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68"/>
      <c r="AO4" s="68"/>
    </row>
    <row r="5" spans="1:41" ht="15" hidden="1" customHeight="1">
      <c r="A5" s="555"/>
      <c r="B5" s="556"/>
      <c r="C5" s="557"/>
      <c r="D5" s="550"/>
      <c r="E5" s="550"/>
      <c r="F5" s="551"/>
      <c r="G5" s="544"/>
      <c r="H5" s="545"/>
      <c r="I5" s="527"/>
      <c r="J5" s="527"/>
      <c r="K5" s="524"/>
      <c r="L5" s="525"/>
      <c r="M5" s="524"/>
      <c r="N5" s="525"/>
      <c r="O5" s="645"/>
      <c r="P5" s="645"/>
      <c r="Q5" s="521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68"/>
      <c r="AO5" s="68"/>
    </row>
    <row r="6" spans="1:41" ht="34.5" customHeight="1" thickBot="1">
      <c r="A6" s="555"/>
      <c r="B6" s="556"/>
      <c r="C6" s="557"/>
      <c r="D6" s="550"/>
      <c r="E6" s="550"/>
      <c r="F6" s="551"/>
      <c r="G6" s="546"/>
      <c r="H6" s="547"/>
      <c r="I6" s="527"/>
      <c r="J6" s="527"/>
      <c r="K6" s="524"/>
      <c r="L6" s="525"/>
      <c r="M6" s="524"/>
      <c r="N6" s="525"/>
      <c r="O6" s="645"/>
      <c r="P6" s="645"/>
      <c r="Q6" s="521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68"/>
      <c r="AO6" s="68"/>
    </row>
    <row r="7" spans="1:41" ht="39.950000000000003" customHeight="1">
      <c r="A7" s="555"/>
      <c r="B7" s="556"/>
      <c r="C7" s="557"/>
      <c r="D7" s="550"/>
      <c r="E7" s="550"/>
      <c r="F7" s="551"/>
      <c r="G7" s="542" t="s">
        <v>458</v>
      </c>
      <c r="H7" s="543"/>
      <c r="I7" s="528" t="s">
        <v>5</v>
      </c>
      <c r="J7" s="529"/>
      <c r="K7" s="524"/>
      <c r="L7" s="525"/>
      <c r="M7" s="524"/>
      <c r="N7" s="525"/>
      <c r="O7" s="645"/>
      <c r="P7" s="645"/>
      <c r="Q7" s="521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68"/>
      <c r="AO7" s="68"/>
    </row>
    <row r="8" spans="1:41" ht="39.950000000000003" customHeight="1">
      <c r="A8" s="555"/>
      <c r="B8" s="556"/>
      <c r="C8" s="557"/>
      <c r="D8" s="550"/>
      <c r="E8" s="550"/>
      <c r="F8" s="551"/>
      <c r="G8" s="544"/>
      <c r="H8" s="545"/>
      <c r="I8" s="528" t="s">
        <v>6</v>
      </c>
      <c r="J8" s="529"/>
      <c r="K8" s="524"/>
      <c r="L8" s="525"/>
      <c r="M8" s="524"/>
      <c r="N8" s="525"/>
      <c r="O8" s="645"/>
      <c r="P8" s="645"/>
      <c r="Q8" s="521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68"/>
      <c r="AO8" s="68"/>
    </row>
    <row r="9" spans="1:41" ht="39.950000000000003" customHeight="1">
      <c r="A9" s="555"/>
      <c r="B9" s="556"/>
      <c r="C9" s="557"/>
      <c r="D9" s="550"/>
      <c r="E9" s="550"/>
      <c r="F9" s="551"/>
      <c r="G9" s="544"/>
      <c r="H9" s="545"/>
      <c r="I9" s="528" t="s">
        <v>7</v>
      </c>
      <c r="J9" s="529"/>
      <c r="K9" s="524"/>
      <c r="L9" s="525"/>
      <c r="M9" s="524"/>
      <c r="N9" s="525"/>
      <c r="O9" s="645"/>
      <c r="P9" s="645"/>
      <c r="Q9" s="521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68"/>
      <c r="AO9" s="68"/>
    </row>
    <row r="10" spans="1:41" ht="39.950000000000003" customHeight="1">
      <c r="A10" s="555"/>
      <c r="B10" s="556"/>
      <c r="C10" s="557"/>
      <c r="D10" s="550"/>
      <c r="E10" s="550"/>
      <c r="F10" s="551"/>
      <c r="G10" s="544"/>
      <c r="H10" s="545"/>
      <c r="I10" s="528" t="s">
        <v>8</v>
      </c>
      <c r="J10" s="529"/>
      <c r="K10" s="524"/>
      <c r="L10" s="525"/>
      <c r="M10" s="524"/>
      <c r="N10" s="525"/>
      <c r="O10" s="645"/>
      <c r="P10" s="645"/>
      <c r="Q10" s="521"/>
      <c r="R10" s="75"/>
      <c r="S10" s="75"/>
      <c r="T10" s="75"/>
      <c r="U10" s="75"/>
      <c r="V10" s="75"/>
      <c r="W10" s="489" t="s">
        <v>459</v>
      </c>
      <c r="X10" s="490"/>
      <c r="Y10" s="491"/>
      <c r="Z10" s="490" t="s">
        <v>460</v>
      </c>
      <c r="AA10" s="490"/>
      <c r="AB10" s="490"/>
      <c r="AC10" s="498"/>
      <c r="AD10" s="501" t="s">
        <v>461</v>
      </c>
      <c r="AE10" s="490"/>
      <c r="AF10" s="490"/>
      <c r="AG10" s="490"/>
      <c r="AH10" s="498"/>
      <c r="AI10" s="501" t="s">
        <v>462</v>
      </c>
      <c r="AJ10" s="490"/>
      <c r="AK10" s="490"/>
      <c r="AL10" s="498"/>
      <c r="AM10" s="504" t="s">
        <v>463</v>
      </c>
      <c r="AN10" s="68"/>
      <c r="AO10" s="68"/>
    </row>
    <row r="11" spans="1:41" ht="39.950000000000003" customHeight="1">
      <c r="A11" s="555"/>
      <c r="B11" s="556"/>
      <c r="C11" s="557"/>
      <c r="D11" s="550"/>
      <c r="E11" s="550"/>
      <c r="F11" s="551"/>
      <c r="G11" s="544"/>
      <c r="H11" s="545"/>
      <c r="I11" s="528" t="s">
        <v>464</v>
      </c>
      <c r="J11" s="529"/>
      <c r="K11" s="524"/>
      <c r="L11" s="525"/>
      <c r="M11" s="524"/>
      <c r="N11" s="525"/>
      <c r="O11" s="645"/>
      <c r="P11" s="645"/>
      <c r="Q11" s="521"/>
      <c r="R11" s="75"/>
      <c r="S11" s="75"/>
      <c r="T11" s="75"/>
      <c r="U11" s="75"/>
      <c r="V11" s="75"/>
      <c r="W11" s="492"/>
      <c r="X11" s="493"/>
      <c r="Y11" s="494"/>
      <c r="Z11" s="493"/>
      <c r="AA11" s="493"/>
      <c r="AB11" s="493"/>
      <c r="AC11" s="499"/>
      <c r="AD11" s="502"/>
      <c r="AE11" s="493"/>
      <c r="AF11" s="493"/>
      <c r="AG11" s="493"/>
      <c r="AH11" s="499"/>
      <c r="AI11" s="502"/>
      <c r="AJ11" s="493"/>
      <c r="AK11" s="493"/>
      <c r="AL11" s="499"/>
      <c r="AM11" s="505"/>
      <c r="AN11" s="68"/>
      <c r="AO11" s="68"/>
    </row>
    <row r="12" spans="1:41" ht="24" customHeight="1">
      <c r="A12" s="651"/>
      <c r="B12" s="652"/>
      <c r="C12" s="653"/>
      <c r="D12" s="654"/>
      <c r="E12" s="654"/>
      <c r="F12" s="551"/>
      <c r="G12" s="544"/>
      <c r="H12" s="545"/>
      <c r="I12" s="127"/>
      <c r="J12" s="127"/>
      <c r="K12" s="524"/>
      <c r="L12" s="525"/>
      <c r="M12" s="524"/>
      <c r="N12" s="525"/>
      <c r="O12" s="645"/>
      <c r="P12" s="645"/>
      <c r="Q12" s="521"/>
      <c r="R12" s="75"/>
      <c r="S12" s="75"/>
      <c r="T12" s="75"/>
      <c r="U12" s="75"/>
      <c r="V12" s="75"/>
      <c r="W12" s="495"/>
      <c r="X12" s="496"/>
      <c r="Y12" s="497"/>
      <c r="Z12" s="496"/>
      <c r="AA12" s="496"/>
      <c r="AB12" s="496"/>
      <c r="AC12" s="500"/>
      <c r="AD12" s="503"/>
      <c r="AE12" s="496"/>
      <c r="AF12" s="496"/>
      <c r="AG12" s="496"/>
      <c r="AH12" s="500"/>
      <c r="AI12" s="503"/>
      <c r="AJ12" s="496"/>
      <c r="AK12" s="496"/>
      <c r="AL12" s="500"/>
      <c r="AM12" s="506"/>
      <c r="AN12" s="68"/>
      <c r="AO12" s="68"/>
    </row>
    <row r="13" spans="1:41" ht="27.75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49"/>
      <c r="L13" s="649"/>
      <c r="M13" s="649"/>
      <c r="N13" s="650"/>
      <c r="O13" s="646"/>
      <c r="P13" s="646"/>
      <c r="Q13" s="521"/>
      <c r="R13" s="75"/>
      <c r="S13" s="75"/>
      <c r="T13" s="75"/>
      <c r="U13" s="75"/>
      <c r="V13" s="75"/>
      <c r="W13" s="76" t="s">
        <v>465</v>
      </c>
      <c r="X13" s="77" t="s">
        <v>466</v>
      </c>
      <c r="Y13" s="78" t="s">
        <v>467</v>
      </c>
      <c r="Z13" s="79" t="s">
        <v>468</v>
      </c>
      <c r="AA13" s="77" t="s">
        <v>469</v>
      </c>
      <c r="AB13" s="77" t="s">
        <v>470</v>
      </c>
      <c r="AC13" s="77" t="s">
        <v>471</v>
      </c>
      <c r="AD13" s="77" t="s">
        <v>472</v>
      </c>
      <c r="AE13" s="77" t="s">
        <v>473</v>
      </c>
      <c r="AF13" s="77" t="s">
        <v>474</v>
      </c>
      <c r="AG13" s="77" t="s">
        <v>475</v>
      </c>
      <c r="AH13" s="77" t="s">
        <v>476</v>
      </c>
      <c r="AI13" s="77" t="s">
        <v>477</v>
      </c>
      <c r="AJ13" s="77" t="s">
        <v>478</v>
      </c>
      <c r="AK13" s="77" t="s">
        <v>479</v>
      </c>
      <c r="AL13" s="77" t="s">
        <v>480</v>
      </c>
      <c r="AM13" s="78" t="s">
        <v>481</v>
      </c>
      <c r="AN13" s="68"/>
      <c r="AO13" s="68"/>
    </row>
    <row r="14" spans="1:41" ht="36.75" customHeight="1">
      <c r="A14" s="655"/>
      <c r="B14" s="656"/>
      <c r="C14" s="657" t="s">
        <v>14</v>
      </c>
      <c r="D14" s="657" t="s">
        <v>19</v>
      </c>
      <c r="E14" s="657" t="s">
        <v>20</v>
      </c>
      <c r="F14" s="657" t="s">
        <v>21</v>
      </c>
      <c r="G14" s="657" t="s">
        <v>22</v>
      </c>
      <c r="H14" s="657" t="s">
        <v>23</v>
      </c>
      <c r="I14" s="658" t="s">
        <v>482</v>
      </c>
      <c r="J14" s="659"/>
      <c r="K14" s="659"/>
      <c r="L14" s="659"/>
      <c r="M14" s="660"/>
      <c r="N14" s="661" t="s">
        <v>483</v>
      </c>
      <c r="O14" s="647"/>
      <c r="P14" s="647"/>
      <c r="Q14" s="521"/>
      <c r="R14" s="538" t="s">
        <v>484</v>
      </c>
      <c r="S14" s="518" t="s">
        <v>485</v>
      </c>
      <c r="T14" s="516" t="s">
        <v>486</v>
      </c>
      <c r="U14" s="536" t="s">
        <v>487</v>
      </c>
      <c r="V14" s="75"/>
      <c r="W14" s="540">
        <v>44421</v>
      </c>
      <c r="X14" s="485">
        <f>W14+7</f>
        <v>44428</v>
      </c>
      <c r="Y14" s="487">
        <f t="shared" ref="Y14:AL14" si="0">X14+7</f>
        <v>44435</v>
      </c>
      <c r="Z14" s="507">
        <f t="shared" si="0"/>
        <v>44442</v>
      </c>
      <c r="AA14" s="485">
        <f t="shared" si="0"/>
        <v>44449</v>
      </c>
      <c r="AB14" s="485">
        <f t="shared" si="0"/>
        <v>44456</v>
      </c>
      <c r="AC14" s="485">
        <f t="shared" si="0"/>
        <v>44463</v>
      </c>
      <c r="AD14" s="485">
        <f t="shared" si="0"/>
        <v>44470</v>
      </c>
      <c r="AE14" s="485">
        <f t="shared" si="0"/>
        <v>44477</v>
      </c>
      <c r="AF14" s="485">
        <f t="shared" si="0"/>
        <v>44484</v>
      </c>
      <c r="AG14" s="485">
        <f t="shared" si="0"/>
        <v>44491</v>
      </c>
      <c r="AH14" s="485">
        <f t="shared" si="0"/>
        <v>44498</v>
      </c>
      <c r="AI14" s="485">
        <f t="shared" si="0"/>
        <v>44505</v>
      </c>
      <c r="AJ14" s="485">
        <f t="shared" si="0"/>
        <v>44512</v>
      </c>
      <c r="AK14" s="485">
        <f t="shared" si="0"/>
        <v>44519</v>
      </c>
      <c r="AL14" s="485">
        <f t="shared" si="0"/>
        <v>44526</v>
      </c>
      <c r="AM14" s="487">
        <f>AL14+5</f>
        <v>44531</v>
      </c>
      <c r="AN14" s="68"/>
      <c r="AO14" s="68"/>
    </row>
    <row r="15" spans="1:41" ht="57" customHeight="1">
      <c r="A15" s="534"/>
      <c r="B15" s="535"/>
      <c r="C15" s="533"/>
      <c r="D15" s="533"/>
      <c r="E15" s="533"/>
      <c r="F15" s="533"/>
      <c r="G15" s="533"/>
      <c r="H15" s="533"/>
      <c r="I15" s="73" t="s">
        <v>488</v>
      </c>
      <c r="J15" s="80" t="s">
        <v>489</v>
      </c>
      <c r="K15" s="80" t="s">
        <v>490</v>
      </c>
      <c r="L15" s="80" t="s">
        <v>491</v>
      </c>
      <c r="M15" s="80" t="s">
        <v>492</v>
      </c>
      <c r="N15" s="515"/>
      <c r="O15" s="647"/>
      <c r="P15" s="647"/>
      <c r="Q15" s="521"/>
      <c r="R15" s="539"/>
      <c r="S15" s="519"/>
      <c r="T15" s="517"/>
      <c r="U15" s="537"/>
      <c r="V15" s="75"/>
      <c r="W15" s="541"/>
      <c r="X15" s="486"/>
      <c r="Y15" s="488"/>
      <c r="Z15" s="508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8"/>
      <c r="AN15" s="68"/>
      <c r="AO15" s="68"/>
    </row>
    <row r="16" spans="1:41" ht="150" customHeight="1">
      <c r="A16" s="558" t="s">
        <v>10</v>
      </c>
      <c r="B16" s="560" t="s">
        <v>493</v>
      </c>
      <c r="C16" s="110" t="s">
        <v>26</v>
      </c>
      <c r="D16" s="55" t="s">
        <v>29</v>
      </c>
      <c r="E16" s="55" t="s">
        <v>30</v>
      </c>
      <c r="F16" s="55" t="s">
        <v>31</v>
      </c>
      <c r="G16" s="55" t="s">
        <v>494</v>
      </c>
      <c r="H16" s="55" t="s">
        <v>33</v>
      </c>
      <c r="I16" s="72">
        <v>44421</v>
      </c>
      <c r="J16" s="662">
        <v>4</v>
      </c>
      <c r="K16" s="662">
        <v>8</v>
      </c>
      <c r="L16" s="662">
        <v>12</v>
      </c>
      <c r="M16" s="673">
        <f>(J16+(4*K16)+L16)/6</f>
        <v>8</v>
      </c>
      <c r="N16" s="341">
        <f>SUM($S$93:$S$96)*M16</f>
        <v>809.2</v>
      </c>
      <c r="O16" s="275"/>
      <c r="P16" s="275"/>
      <c r="Q16" s="521"/>
      <c r="R16" s="112">
        <v>3</v>
      </c>
      <c r="S16" s="81">
        <f>ROUND((M16*R16),1)</f>
        <v>24</v>
      </c>
      <c r="T16" s="82">
        <f>U16/S16</f>
        <v>1</v>
      </c>
      <c r="U16" s="670">
        <f>SUM(W16:AO16)</f>
        <v>24</v>
      </c>
      <c r="V16" s="672"/>
      <c r="W16" s="83">
        <v>24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5"/>
      <c r="AN16" s="68"/>
      <c r="AO16" s="68"/>
    </row>
    <row r="17" spans="1:41" ht="150" customHeight="1">
      <c r="A17" s="558"/>
      <c r="B17" s="560"/>
      <c r="C17" s="111" t="s">
        <v>36</v>
      </c>
      <c r="D17" s="61" t="s">
        <v>37</v>
      </c>
      <c r="E17" s="61" t="s">
        <v>495</v>
      </c>
      <c r="F17" s="61" t="s">
        <v>31</v>
      </c>
      <c r="G17" s="61" t="s">
        <v>32</v>
      </c>
      <c r="H17" s="61" t="s">
        <v>33</v>
      </c>
      <c r="I17" s="63">
        <v>44425</v>
      </c>
      <c r="J17" s="663">
        <v>2</v>
      </c>
      <c r="K17" s="663">
        <v>4</v>
      </c>
      <c r="L17" s="663">
        <v>6</v>
      </c>
      <c r="M17" s="64">
        <f>(J17+(4*K17)+L17)/6</f>
        <v>4</v>
      </c>
      <c r="N17" s="341">
        <f>SUM($S$93:$S$96)*M17</f>
        <v>404.6</v>
      </c>
      <c r="O17" s="275"/>
      <c r="P17" s="275"/>
      <c r="Q17" s="521"/>
      <c r="R17" s="112">
        <v>2</v>
      </c>
      <c r="S17" s="81">
        <f t="shared" ref="S17:S80" si="1">ROUND((M17*R17),1)</f>
        <v>8</v>
      </c>
      <c r="T17" s="86">
        <f t="shared" ref="T17:T76" si="2">U17/S17</f>
        <v>1</v>
      </c>
      <c r="U17" s="671">
        <f>SUM(W17:AO17)</f>
        <v>8</v>
      </c>
      <c r="V17" s="672"/>
      <c r="W17" s="87">
        <v>4</v>
      </c>
      <c r="X17" s="88">
        <v>4</v>
      </c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9"/>
      <c r="AN17" s="68"/>
      <c r="AO17" s="68"/>
    </row>
    <row r="18" spans="1:41" ht="150" customHeight="1">
      <c r="A18" s="558"/>
      <c r="B18" s="560"/>
      <c r="C18" s="111" t="s">
        <v>41</v>
      </c>
      <c r="D18" s="61" t="s">
        <v>43</v>
      </c>
      <c r="E18" s="61" t="s">
        <v>44</v>
      </c>
      <c r="F18" s="61" t="s">
        <v>31</v>
      </c>
      <c r="G18" s="61" t="s">
        <v>32</v>
      </c>
      <c r="H18" s="61" t="s">
        <v>33</v>
      </c>
      <c r="I18" s="63">
        <v>44421</v>
      </c>
      <c r="J18" s="663">
        <v>2</v>
      </c>
      <c r="K18" s="663">
        <v>4</v>
      </c>
      <c r="L18" s="663">
        <v>6</v>
      </c>
      <c r="M18" s="64">
        <f t="shared" ref="M18:M76" si="3">(J18+(4*K18)+L18)/6</f>
        <v>4</v>
      </c>
      <c r="N18" s="341">
        <f t="shared" ref="N18:N25" si="4">SUM($S$93:$S$96)*M18</f>
        <v>404.6</v>
      </c>
      <c r="O18" s="275"/>
      <c r="P18" s="275"/>
      <c r="Q18" s="521"/>
      <c r="R18" s="112">
        <v>2</v>
      </c>
      <c r="S18" s="81">
        <f t="shared" si="1"/>
        <v>8</v>
      </c>
      <c r="T18" s="86">
        <f t="shared" si="2"/>
        <v>1</v>
      </c>
      <c r="U18" s="671">
        <f>SUM(W18:AO18)</f>
        <v>8</v>
      </c>
      <c r="V18" s="672"/>
      <c r="W18" s="90">
        <v>8</v>
      </c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2"/>
      <c r="AN18" s="68"/>
      <c r="AO18" s="68"/>
    </row>
    <row r="19" spans="1:41" ht="150" customHeight="1">
      <c r="A19" s="558"/>
      <c r="B19" s="560"/>
      <c r="C19" s="111" t="s">
        <v>496</v>
      </c>
      <c r="D19" s="61" t="s">
        <v>48</v>
      </c>
      <c r="E19" s="61" t="s">
        <v>497</v>
      </c>
      <c r="F19" s="61" t="s">
        <v>50</v>
      </c>
      <c r="G19" s="61" t="s">
        <v>32</v>
      </c>
      <c r="H19" s="61" t="s">
        <v>33</v>
      </c>
      <c r="I19" s="63">
        <v>44427</v>
      </c>
      <c r="J19" s="663">
        <v>1</v>
      </c>
      <c r="K19" s="663">
        <v>3</v>
      </c>
      <c r="L19" s="663">
        <v>5</v>
      </c>
      <c r="M19" s="64">
        <f t="shared" ref="M19" si="5">(J19+(4*K19)+L19)/6</f>
        <v>3</v>
      </c>
      <c r="N19" s="341">
        <f t="shared" si="4"/>
        <v>303.45000000000005</v>
      </c>
      <c r="O19" s="275"/>
      <c r="P19" s="275"/>
      <c r="Q19" s="521"/>
      <c r="R19" s="112">
        <v>2</v>
      </c>
      <c r="S19" s="81">
        <f t="shared" si="1"/>
        <v>6</v>
      </c>
      <c r="T19" s="86">
        <f t="shared" si="2"/>
        <v>1</v>
      </c>
      <c r="U19" s="671">
        <f t="shared" ref="U19:U78" si="6">SUM(W19:AO19)</f>
        <v>6</v>
      </c>
      <c r="V19" s="672"/>
      <c r="W19" s="90">
        <v>6</v>
      </c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2"/>
      <c r="AN19" s="68"/>
      <c r="AO19" s="68"/>
    </row>
    <row r="20" spans="1:41" ht="150" customHeight="1">
      <c r="A20" s="558"/>
      <c r="B20" s="560"/>
      <c r="C20" s="111" t="s">
        <v>498</v>
      </c>
      <c r="D20" s="61" t="s">
        <v>499</v>
      </c>
      <c r="E20" s="61" t="s">
        <v>500</v>
      </c>
      <c r="F20" s="61" t="s">
        <v>50</v>
      </c>
      <c r="G20" s="61" t="s">
        <v>32</v>
      </c>
      <c r="H20" s="65" t="s">
        <v>57</v>
      </c>
      <c r="I20" s="59">
        <v>44432</v>
      </c>
      <c r="J20" s="664">
        <v>2</v>
      </c>
      <c r="K20" s="664">
        <v>4</v>
      </c>
      <c r="L20" s="664">
        <v>6</v>
      </c>
      <c r="M20" s="64">
        <f t="shared" si="3"/>
        <v>4</v>
      </c>
      <c r="N20" s="341">
        <f t="shared" si="4"/>
        <v>404.6</v>
      </c>
      <c r="O20" s="275"/>
      <c r="P20" s="275"/>
      <c r="Q20" s="521"/>
      <c r="R20" s="112">
        <v>1</v>
      </c>
      <c r="S20" s="81">
        <f t="shared" si="1"/>
        <v>4</v>
      </c>
      <c r="T20" s="86">
        <f t="shared" si="2"/>
        <v>1</v>
      </c>
      <c r="U20" s="671">
        <f t="shared" si="6"/>
        <v>4</v>
      </c>
      <c r="V20" s="672"/>
      <c r="W20" s="90"/>
      <c r="X20" s="91">
        <v>3</v>
      </c>
      <c r="Y20" s="91">
        <v>1</v>
      </c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2"/>
      <c r="AN20" s="68"/>
      <c r="AO20" s="68"/>
    </row>
    <row r="21" spans="1:41" ht="150" customHeight="1">
      <c r="A21" s="558"/>
      <c r="B21" s="561"/>
      <c r="C21" s="111" t="s">
        <v>60</v>
      </c>
      <c r="D21" s="61" t="s">
        <v>58</v>
      </c>
      <c r="E21" s="61" t="s">
        <v>63</v>
      </c>
      <c r="F21" s="61" t="s">
        <v>50</v>
      </c>
      <c r="G21" s="61" t="s">
        <v>32</v>
      </c>
      <c r="H21" s="65" t="s">
        <v>64</v>
      </c>
      <c r="I21" s="59">
        <v>44434</v>
      </c>
      <c r="J21" s="665">
        <v>2</v>
      </c>
      <c r="K21" s="665">
        <v>4</v>
      </c>
      <c r="L21" s="665">
        <v>6</v>
      </c>
      <c r="M21" s="64">
        <f t="shared" si="3"/>
        <v>4</v>
      </c>
      <c r="N21" s="341">
        <f t="shared" si="4"/>
        <v>404.6</v>
      </c>
      <c r="O21" s="275"/>
      <c r="P21" s="275"/>
      <c r="Q21" s="521"/>
      <c r="R21" s="112">
        <v>2</v>
      </c>
      <c r="S21" s="81">
        <f t="shared" si="1"/>
        <v>8</v>
      </c>
      <c r="T21" s="86">
        <f t="shared" si="2"/>
        <v>1</v>
      </c>
      <c r="U21" s="671">
        <f t="shared" si="6"/>
        <v>8</v>
      </c>
      <c r="V21" s="672"/>
      <c r="W21" s="90"/>
      <c r="X21" s="91">
        <v>4</v>
      </c>
      <c r="Y21" s="91">
        <v>4</v>
      </c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2"/>
      <c r="AN21" s="68"/>
      <c r="AO21" s="68"/>
    </row>
    <row r="22" spans="1:41" ht="150" customHeight="1">
      <c r="A22" s="558"/>
      <c r="B22" s="512" t="s">
        <v>65</v>
      </c>
      <c r="C22" s="62" t="s">
        <v>68</v>
      </c>
      <c r="D22" s="61" t="s">
        <v>70</v>
      </c>
      <c r="E22" s="61" t="s">
        <v>71</v>
      </c>
      <c r="F22" s="61" t="s">
        <v>50</v>
      </c>
      <c r="G22" s="61" t="s">
        <v>32</v>
      </c>
      <c r="H22" s="61" t="s">
        <v>72</v>
      </c>
      <c r="I22" s="59">
        <v>44432</v>
      </c>
      <c r="J22" s="665">
        <v>2</v>
      </c>
      <c r="K22" s="665">
        <v>4</v>
      </c>
      <c r="L22" s="665">
        <v>6</v>
      </c>
      <c r="M22" s="64">
        <f t="shared" si="3"/>
        <v>4</v>
      </c>
      <c r="N22" s="341">
        <f t="shared" si="4"/>
        <v>404.6</v>
      </c>
      <c r="O22" s="276"/>
      <c r="P22" s="276"/>
      <c r="Q22" s="521"/>
      <c r="R22" s="112">
        <v>1</v>
      </c>
      <c r="S22" s="81">
        <f t="shared" si="1"/>
        <v>4</v>
      </c>
      <c r="T22" s="86">
        <f t="shared" si="2"/>
        <v>1</v>
      </c>
      <c r="U22" s="671">
        <f t="shared" si="6"/>
        <v>4</v>
      </c>
      <c r="V22" s="672"/>
      <c r="W22" s="90"/>
      <c r="X22" s="91">
        <v>1</v>
      </c>
      <c r="Y22" s="91">
        <v>2</v>
      </c>
      <c r="Z22" s="91">
        <v>1</v>
      </c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2"/>
      <c r="AN22" s="68"/>
      <c r="AO22" s="68"/>
    </row>
    <row r="23" spans="1:41" ht="150" customHeight="1">
      <c r="A23" s="558"/>
      <c r="B23" s="513"/>
      <c r="C23" s="62" t="s">
        <v>75</v>
      </c>
      <c r="D23" s="201" t="s">
        <v>501</v>
      </c>
      <c r="E23" s="61" t="s">
        <v>76</v>
      </c>
      <c r="F23" s="61" t="s">
        <v>50</v>
      </c>
      <c r="G23" s="61" t="s">
        <v>32</v>
      </c>
      <c r="H23" s="61" t="s">
        <v>77</v>
      </c>
      <c r="I23" s="59">
        <v>44432</v>
      </c>
      <c r="J23" s="665">
        <v>3</v>
      </c>
      <c r="K23" s="665">
        <v>6</v>
      </c>
      <c r="L23" s="665">
        <v>15</v>
      </c>
      <c r="M23" s="64">
        <f t="shared" ref="M23" si="7">(J23+(4*K23)+L23)/6</f>
        <v>7</v>
      </c>
      <c r="N23" s="341">
        <f t="shared" si="4"/>
        <v>708.05000000000007</v>
      </c>
      <c r="O23" s="276"/>
      <c r="P23" s="276"/>
      <c r="Q23" s="521"/>
      <c r="R23" s="112">
        <v>1</v>
      </c>
      <c r="S23" s="81">
        <f t="shared" si="1"/>
        <v>7</v>
      </c>
      <c r="T23" s="86">
        <f t="shared" si="2"/>
        <v>1</v>
      </c>
      <c r="U23" s="671">
        <f t="shared" si="6"/>
        <v>7</v>
      </c>
      <c r="V23" s="672"/>
      <c r="W23" s="90"/>
      <c r="X23" s="91">
        <v>1</v>
      </c>
      <c r="Y23" s="91">
        <v>3</v>
      </c>
      <c r="Z23" s="91">
        <v>3</v>
      </c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2"/>
      <c r="AN23" s="68"/>
      <c r="AO23" s="68"/>
    </row>
    <row r="24" spans="1:41" ht="150" customHeight="1">
      <c r="A24" s="558"/>
      <c r="B24" s="513"/>
      <c r="C24" s="62" t="s">
        <v>80</v>
      </c>
      <c r="D24" s="61" t="s">
        <v>502</v>
      </c>
      <c r="E24" s="61" t="s">
        <v>503</v>
      </c>
      <c r="F24" s="61" t="s">
        <v>50</v>
      </c>
      <c r="G24" s="61" t="s">
        <v>32</v>
      </c>
      <c r="H24" s="61" t="s">
        <v>84</v>
      </c>
      <c r="I24" s="59">
        <v>44434</v>
      </c>
      <c r="J24" s="665">
        <v>6</v>
      </c>
      <c r="K24" s="665">
        <v>8</v>
      </c>
      <c r="L24" s="665">
        <v>16</v>
      </c>
      <c r="M24" s="64">
        <f t="shared" si="3"/>
        <v>9</v>
      </c>
      <c r="N24" s="341">
        <f t="shared" si="4"/>
        <v>910.35</v>
      </c>
      <c r="O24" s="276"/>
      <c r="P24" s="276"/>
      <c r="Q24" s="521"/>
      <c r="R24" s="112">
        <v>1</v>
      </c>
      <c r="S24" s="81">
        <f t="shared" si="1"/>
        <v>9</v>
      </c>
      <c r="T24" s="86">
        <f t="shared" si="2"/>
        <v>1</v>
      </c>
      <c r="U24" s="671">
        <f t="shared" si="6"/>
        <v>9</v>
      </c>
      <c r="V24" s="672"/>
      <c r="W24" s="90"/>
      <c r="X24" s="91">
        <v>2</v>
      </c>
      <c r="Y24" s="91">
        <v>2</v>
      </c>
      <c r="Z24" s="91">
        <v>5</v>
      </c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2"/>
      <c r="AN24" s="68"/>
      <c r="AO24" s="68"/>
    </row>
    <row r="25" spans="1:41" ht="150" customHeight="1">
      <c r="A25" s="558"/>
      <c r="B25" s="513"/>
      <c r="C25" s="62" t="s">
        <v>86</v>
      </c>
      <c r="D25" s="61" t="s">
        <v>504</v>
      </c>
      <c r="E25" s="61" t="s">
        <v>505</v>
      </c>
      <c r="F25" s="61" t="s">
        <v>50</v>
      </c>
      <c r="G25" s="61" t="s">
        <v>32</v>
      </c>
      <c r="H25" s="61" t="s">
        <v>90</v>
      </c>
      <c r="I25" s="59">
        <v>44439</v>
      </c>
      <c r="J25" s="664">
        <v>4</v>
      </c>
      <c r="K25" s="664">
        <v>9</v>
      </c>
      <c r="L25" s="664">
        <v>20</v>
      </c>
      <c r="M25" s="64">
        <f t="shared" si="3"/>
        <v>10</v>
      </c>
      <c r="N25" s="341">
        <f>SUM($S$93:$S$96)*M25</f>
        <v>1011.5</v>
      </c>
      <c r="O25" s="276"/>
      <c r="P25" s="276"/>
      <c r="Q25" s="521"/>
      <c r="R25" s="112">
        <v>1</v>
      </c>
      <c r="S25" s="81">
        <f t="shared" si="1"/>
        <v>10</v>
      </c>
      <c r="T25" s="86">
        <f t="shared" si="2"/>
        <v>1</v>
      </c>
      <c r="U25" s="671">
        <f t="shared" si="6"/>
        <v>10</v>
      </c>
      <c r="V25" s="672"/>
      <c r="W25" s="90"/>
      <c r="X25" s="91"/>
      <c r="Y25" s="91">
        <v>4</v>
      </c>
      <c r="Z25" s="91">
        <v>4</v>
      </c>
      <c r="AA25" s="91">
        <v>2</v>
      </c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2"/>
      <c r="AN25" s="68"/>
      <c r="AO25" s="68"/>
    </row>
    <row r="26" spans="1:41" ht="150" customHeight="1">
      <c r="A26" s="558"/>
      <c r="B26" s="513"/>
      <c r="C26" s="62" t="s">
        <v>60</v>
      </c>
      <c r="D26" s="61" t="s">
        <v>92</v>
      </c>
      <c r="E26" s="61" t="s">
        <v>506</v>
      </c>
      <c r="F26" s="61" t="s">
        <v>50</v>
      </c>
      <c r="G26" s="61" t="s">
        <v>32</v>
      </c>
      <c r="H26" s="61" t="s">
        <v>90</v>
      </c>
      <c r="I26" s="59">
        <v>44439</v>
      </c>
      <c r="J26" s="664">
        <v>3</v>
      </c>
      <c r="K26" s="664">
        <v>6</v>
      </c>
      <c r="L26" s="664">
        <v>9</v>
      </c>
      <c r="M26" s="64">
        <f t="shared" si="3"/>
        <v>6</v>
      </c>
      <c r="N26" s="341">
        <f t="shared" ref="N17:N26" si="8">SUM(S103:S106)*M26</f>
        <v>0</v>
      </c>
      <c r="O26" s="276"/>
      <c r="P26" s="276"/>
      <c r="Q26" s="521"/>
      <c r="R26" s="112">
        <v>3</v>
      </c>
      <c r="S26" s="81">
        <f t="shared" si="1"/>
        <v>18</v>
      </c>
      <c r="T26" s="86">
        <f t="shared" si="2"/>
        <v>1</v>
      </c>
      <c r="U26" s="671">
        <f t="shared" si="6"/>
        <v>18</v>
      </c>
      <c r="V26" s="672"/>
      <c r="W26" s="90"/>
      <c r="X26" s="91"/>
      <c r="Y26" s="91">
        <v>10</v>
      </c>
      <c r="Z26" s="91">
        <v>5</v>
      </c>
      <c r="AA26" s="91">
        <v>3</v>
      </c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2"/>
      <c r="AN26" s="68"/>
      <c r="AO26" s="68"/>
    </row>
    <row r="27" spans="1:41" ht="150" customHeight="1">
      <c r="A27" s="558"/>
      <c r="B27" s="512" t="s">
        <v>94</v>
      </c>
      <c r="C27" s="62" t="s">
        <v>97</v>
      </c>
      <c r="D27" s="61" t="s">
        <v>100</v>
      </c>
      <c r="E27" s="61" t="s">
        <v>507</v>
      </c>
      <c r="F27" s="61" t="s">
        <v>102</v>
      </c>
      <c r="G27" s="61" t="s">
        <v>103</v>
      </c>
      <c r="H27" s="61" t="s">
        <v>508</v>
      </c>
      <c r="I27" s="59">
        <v>44441</v>
      </c>
      <c r="J27" s="664">
        <v>2</v>
      </c>
      <c r="K27" s="664">
        <v>3</v>
      </c>
      <c r="L27" s="664">
        <v>6</v>
      </c>
      <c r="M27" s="64">
        <f t="shared" si="3"/>
        <v>3.3333333333333335</v>
      </c>
      <c r="N27" s="341">
        <f>SUM(S93+S94)*M27</f>
        <v>240</v>
      </c>
      <c r="O27" s="276"/>
      <c r="P27" s="276"/>
      <c r="Q27" s="521"/>
      <c r="R27" s="112">
        <v>3</v>
      </c>
      <c r="S27" s="81">
        <f t="shared" si="1"/>
        <v>10</v>
      </c>
      <c r="T27" s="86">
        <f t="shared" si="2"/>
        <v>1</v>
      </c>
      <c r="U27" s="671">
        <f t="shared" si="6"/>
        <v>10</v>
      </c>
      <c r="V27" s="672"/>
      <c r="W27" s="90"/>
      <c r="X27" s="91"/>
      <c r="Y27" s="91">
        <v>5</v>
      </c>
      <c r="Z27" s="91">
        <v>5</v>
      </c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2"/>
      <c r="AN27" s="68"/>
      <c r="AO27" s="68"/>
    </row>
    <row r="28" spans="1:41" ht="150" customHeight="1">
      <c r="A28" s="558"/>
      <c r="B28" s="513"/>
      <c r="C28" s="58" t="s">
        <v>107</v>
      </c>
      <c r="D28" s="61" t="s">
        <v>509</v>
      </c>
      <c r="E28" s="61" t="s">
        <v>510</v>
      </c>
      <c r="F28" s="61" t="s">
        <v>102</v>
      </c>
      <c r="G28" s="61" t="s">
        <v>103</v>
      </c>
      <c r="H28" s="61" t="s">
        <v>110</v>
      </c>
      <c r="I28" s="59">
        <v>44447</v>
      </c>
      <c r="J28" s="665">
        <v>5</v>
      </c>
      <c r="K28" s="665">
        <v>7</v>
      </c>
      <c r="L28" s="665">
        <v>11</v>
      </c>
      <c r="M28" s="64">
        <f t="shared" si="3"/>
        <v>7.333333333333333</v>
      </c>
      <c r="N28" s="341">
        <f>SUM($S$94+$S$95)*M28</f>
        <v>298.4666666666667</v>
      </c>
      <c r="O28" s="276"/>
      <c r="P28" s="276"/>
      <c r="Q28" s="521"/>
      <c r="R28" s="112">
        <v>3</v>
      </c>
      <c r="S28" s="81">
        <f t="shared" si="1"/>
        <v>22</v>
      </c>
      <c r="T28" s="86">
        <f t="shared" si="2"/>
        <v>1</v>
      </c>
      <c r="U28" s="671">
        <f t="shared" si="6"/>
        <v>22</v>
      </c>
      <c r="V28" s="672"/>
      <c r="W28" s="90"/>
      <c r="X28" s="91"/>
      <c r="Y28" s="91"/>
      <c r="Z28" s="91">
        <v>4</v>
      </c>
      <c r="AA28" s="91">
        <v>4</v>
      </c>
      <c r="AB28" s="91">
        <v>14</v>
      </c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2"/>
      <c r="AN28" s="68"/>
      <c r="AO28" s="68"/>
    </row>
    <row r="29" spans="1:41" ht="150" customHeight="1">
      <c r="A29" s="558"/>
      <c r="B29" s="513"/>
      <c r="C29" s="343" t="s">
        <v>113</v>
      </c>
      <c r="D29" s="201" t="s">
        <v>511</v>
      </c>
      <c r="E29" s="201" t="s">
        <v>512</v>
      </c>
      <c r="F29" s="201" t="s">
        <v>102</v>
      </c>
      <c r="G29" s="201" t="s">
        <v>103</v>
      </c>
      <c r="H29" s="201" t="s">
        <v>115</v>
      </c>
      <c r="I29" s="202">
        <v>44448</v>
      </c>
      <c r="J29" s="666">
        <v>4</v>
      </c>
      <c r="K29" s="666">
        <v>6</v>
      </c>
      <c r="L29" s="666">
        <v>12</v>
      </c>
      <c r="M29" s="64">
        <f t="shared" si="3"/>
        <v>6.666666666666667</v>
      </c>
      <c r="N29" s="341">
        <f t="shared" ref="N29:N31" si="9">SUM($S$94+$S$95)*M29</f>
        <v>271.33333333333337</v>
      </c>
      <c r="O29" s="276"/>
      <c r="P29" s="276"/>
      <c r="Q29" s="521"/>
      <c r="R29" s="112">
        <v>3</v>
      </c>
      <c r="S29" s="81">
        <f t="shared" si="1"/>
        <v>20</v>
      </c>
      <c r="T29" s="86">
        <f t="shared" si="2"/>
        <v>1</v>
      </c>
      <c r="U29" s="671">
        <f t="shared" si="6"/>
        <v>20</v>
      </c>
      <c r="V29" s="672"/>
      <c r="W29" s="90"/>
      <c r="X29" s="91"/>
      <c r="Y29" s="91"/>
      <c r="Z29" s="91">
        <v>4</v>
      </c>
      <c r="AA29" s="91">
        <v>4</v>
      </c>
      <c r="AB29" s="91">
        <v>12</v>
      </c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2"/>
      <c r="AN29" s="68"/>
      <c r="AO29" s="68"/>
    </row>
    <row r="30" spans="1:41" ht="150" customHeight="1">
      <c r="A30" s="558"/>
      <c r="B30" s="513"/>
      <c r="C30" s="62" t="s">
        <v>86</v>
      </c>
      <c r="D30" s="61" t="s">
        <v>513</v>
      </c>
      <c r="E30" s="61" t="s">
        <v>514</v>
      </c>
      <c r="F30" s="61" t="s">
        <v>102</v>
      </c>
      <c r="G30" s="61" t="s">
        <v>103</v>
      </c>
      <c r="H30" s="61" t="s">
        <v>90</v>
      </c>
      <c r="I30" s="59">
        <v>44449</v>
      </c>
      <c r="J30" s="664">
        <v>2</v>
      </c>
      <c r="K30" s="664">
        <v>3</v>
      </c>
      <c r="L30" s="664">
        <v>7</v>
      </c>
      <c r="M30" s="64">
        <f t="shared" si="3"/>
        <v>3.5</v>
      </c>
      <c r="N30" s="341">
        <f t="shared" si="9"/>
        <v>142.45000000000002</v>
      </c>
      <c r="O30" s="276"/>
      <c r="P30" s="276"/>
      <c r="Q30" s="521"/>
      <c r="R30" s="112">
        <v>2</v>
      </c>
      <c r="S30" s="81">
        <f t="shared" si="1"/>
        <v>7</v>
      </c>
      <c r="T30" s="86">
        <f t="shared" si="2"/>
        <v>1</v>
      </c>
      <c r="U30" s="671">
        <f t="shared" si="6"/>
        <v>7</v>
      </c>
      <c r="V30" s="672"/>
      <c r="W30" s="90"/>
      <c r="X30" s="91"/>
      <c r="Y30" s="91"/>
      <c r="Z30" s="91"/>
      <c r="AA30" s="91">
        <v>1</v>
      </c>
      <c r="AB30" s="91">
        <v>6</v>
      </c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2"/>
      <c r="AN30" s="68"/>
      <c r="AO30" s="68"/>
    </row>
    <row r="31" spans="1:41" ht="150" customHeight="1">
      <c r="A31" s="558"/>
      <c r="B31" s="514"/>
      <c r="C31" s="62" t="s">
        <v>120</v>
      </c>
      <c r="D31" s="61" t="s">
        <v>515</v>
      </c>
      <c r="E31" s="61" t="s">
        <v>118</v>
      </c>
      <c r="F31" s="61" t="s">
        <v>102</v>
      </c>
      <c r="G31" s="61" t="s">
        <v>103</v>
      </c>
      <c r="H31" s="61" t="s">
        <v>90</v>
      </c>
      <c r="I31" s="59">
        <v>44449</v>
      </c>
      <c r="J31" s="664">
        <v>2</v>
      </c>
      <c r="K31" s="664">
        <v>3</v>
      </c>
      <c r="L31" s="664">
        <v>6</v>
      </c>
      <c r="M31" s="64">
        <f t="shared" si="3"/>
        <v>3.3333333333333335</v>
      </c>
      <c r="N31" s="341">
        <f t="shared" si="9"/>
        <v>135.66666666666669</v>
      </c>
      <c r="O31" s="276"/>
      <c r="P31" s="276"/>
      <c r="Q31" s="521"/>
      <c r="R31" s="112">
        <v>3</v>
      </c>
      <c r="S31" s="81">
        <f t="shared" si="1"/>
        <v>10</v>
      </c>
      <c r="T31" s="86">
        <f t="shared" si="2"/>
        <v>1</v>
      </c>
      <c r="U31" s="671">
        <f t="shared" si="6"/>
        <v>10</v>
      </c>
      <c r="V31" s="672"/>
      <c r="W31" s="90"/>
      <c r="X31" s="91"/>
      <c r="Y31" s="91"/>
      <c r="Z31" s="91"/>
      <c r="AA31" s="91">
        <v>1</v>
      </c>
      <c r="AB31" s="91">
        <v>9</v>
      </c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2"/>
      <c r="AN31" s="68"/>
      <c r="AO31" s="68"/>
    </row>
    <row r="32" spans="1:41" ht="150" customHeight="1">
      <c r="A32" s="558"/>
      <c r="B32" s="509" t="s">
        <v>122</v>
      </c>
      <c r="C32" s="62" t="s">
        <v>125</v>
      </c>
      <c r="D32" s="61" t="s">
        <v>516</v>
      </c>
      <c r="E32" s="61" t="s">
        <v>517</v>
      </c>
      <c r="F32" s="61" t="s">
        <v>102</v>
      </c>
      <c r="G32" s="61" t="s">
        <v>518</v>
      </c>
      <c r="H32" s="61" t="s">
        <v>128</v>
      </c>
      <c r="I32" s="63">
        <v>44453</v>
      </c>
      <c r="J32" s="663">
        <v>4</v>
      </c>
      <c r="K32" s="663">
        <v>6</v>
      </c>
      <c r="L32" s="663">
        <v>8</v>
      </c>
      <c r="M32" s="64">
        <f t="shared" si="3"/>
        <v>6</v>
      </c>
      <c r="N32" s="341">
        <f>($S$95+$S$96)*M32</f>
        <v>174.89999999999998</v>
      </c>
      <c r="O32" s="275"/>
      <c r="P32" s="275"/>
      <c r="Q32" s="521"/>
      <c r="R32" s="112">
        <v>2</v>
      </c>
      <c r="S32" s="81">
        <f t="shared" si="1"/>
        <v>12</v>
      </c>
      <c r="T32" s="86">
        <f t="shared" si="2"/>
        <v>1</v>
      </c>
      <c r="U32" s="671">
        <f t="shared" si="6"/>
        <v>12</v>
      </c>
      <c r="V32" s="672"/>
      <c r="W32" s="90"/>
      <c r="X32" s="91"/>
      <c r="Y32" s="91"/>
      <c r="Z32" s="91"/>
      <c r="AA32" s="91">
        <v>5</v>
      </c>
      <c r="AB32" s="91">
        <v>7</v>
      </c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2"/>
      <c r="AN32" s="68"/>
      <c r="AO32" s="68"/>
    </row>
    <row r="33" spans="1:41" ht="150" customHeight="1">
      <c r="A33" s="558"/>
      <c r="B33" s="510"/>
      <c r="C33" s="62" t="s">
        <v>131</v>
      </c>
      <c r="D33" s="61" t="s">
        <v>132</v>
      </c>
      <c r="E33" s="201" t="s">
        <v>133</v>
      </c>
      <c r="F33" s="61" t="s">
        <v>102</v>
      </c>
      <c r="G33" s="61" t="s">
        <v>518</v>
      </c>
      <c r="H33" s="61" t="s">
        <v>134</v>
      </c>
      <c r="I33" s="63">
        <v>44455</v>
      </c>
      <c r="J33" s="663">
        <v>4</v>
      </c>
      <c r="K33" s="663">
        <v>6</v>
      </c>
      <c r="L33" s="663">
        <v>8</v>
      </c>
      <c r="M33" s="64">
        <f t="shared" si="3"/>
        <v>6</v>
      </c>
      <c r="N33" s="341">
        <f t="shared" ref="N33:N35" si="10">($S$95+$S$96)*M33</f>
        <v>174.89999999999998</v>
      </c>
      <c r="O33" s="275"/>
      <c r="P33" s="275"/>
      <c r="Q33" s="521"/>
      <c r="R33" s="112">
        <v>2</v>
      </c>
      <c r="S33" s="81">
        <f t="shared" si="1"/>
        <v>12</v>
      </c>
      <c r="T33" s="86">
        <f t="shared" si="2"/>
        <v>1</v>
      </c>
      <c r="U33" s="671">
        <f t="shared" si="6"/>
        <v>12</v>
      </c>
      <c r="V33" s="672"/>
      <c r="W33" s="90"/>
      <c r="X33" s="91"/>
      <c r="Y33" s="91"/>
      <c r="Z33" s="91"/>
      <c r="AA33" s="91">
        <v>12</v>
      </c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2"/>
      <c r="AN33" s="68"/>
      <c r="AO33" s="68"/>
    </row>
    <row r="34" spans="1:41" ht="150" customHeight="1">
      <c r="A34" s="558"/>
      <c r="B34" s="510"/>
      <c r="C34" s="62" t="s">
        <v>519</v>
      </c>
      <c r="D34" s="61" t="s">
        <v>520</v>
      </c>
      <c r="E34" s="61" t="s">
        <v>521</v>
      </c>
      <c r="F34" s="61" t="s">
        <v>102</v>
      </c>
      <c r="G34" s="61" t="s">
        <v>518</v>
      </c>
      <c r="H34" s="61" t="s">
        <v>128</v>
      </c>
      <c r="I34" s="63">
        <v>44455</v>
      </c>
      <c r="J34" s="663">
        <v>4</v>
      </c>
      <c r="K34" s="663">
        <v>6</v>
      </c>
      <c r="L34" s="663">
        <v>8</v>
      </c>
      <c r="M34" s="64">
        <f t="shared" si="3"/>
        <v>6</v>
      </c>
      <c r="N34" s="341">
        <f t="shared" si="10"/>
        <v>174.89999999999998</v>
      </c>
      <c r="O34" s="275"/>
      <c r="P34" s="275"/>
      <c r="Q34" s="521"/>
      <c r="R34" s="112">
        <v>3</v>
      </c>
      <c r="S34" s="81">
        <f t="shared" si="1"/>
        <v>18</v>
      </c>
      <c r="T34" s="86">
        <f t="shared" si="2"/>
        <v>1</v>
      </c>
      <c r="U34" s="671">
        <f t="shared" si="6"/>
        <v>18</v>
      </c>
      <c r="V34" s="672"/>
      <c r="W34" s="90"/>
      <c r="X34" s="91"/>
      <c r="Y34" s="91"/>
      <c r="Z34" s="91"/>
      <c r="AA34" s="91">
        <v>18</v>
      </c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2"/>
      <c r="AN34" s="68"/>
      <c r="AO34" s="68"/>
    </row>
    <row r="35" spans="1:41" ht="150" customHeight="1">
      <c r="A35" s="559"/>
      <c r="B35" s="510"/>
      <c r="C35" s="62" t="s">
        <v>522</v>
      </c>
      <c r="D35" s="61" t="s">
        <v>523</v>
      </c>
      <c r="E35" s="61" t="s">
        <v>524</v>
      </c>
      <c r="F35" s="61" t="s">
        <v>102</v>
      </c>
      <c r="G35" s="61" t="s">
        <v>518</v>
      </c>
      <c r="H35" s="61" t="s">
        <v>145</v>
      </c>
      <c r="I35" s="63">
        <v>44455</v>
      </c>
      <c r="J35" s="663">
        <v>4</v>
      </c>
      <c r="K35" s="663">
        <v>6</v>
      </c>
      <c r="L35" s="663">
        <v>8</v>
      </c>
      <c r="M35" s="64">
        <f t="shared" si="3"/>
        <v>6</v>
      </c>
      <c r="N35" s="341">
        <f>($S$95+$S$96)*M35</f>
        <v>174.89999999999998</v>
      </c>
      <c r="O35" s="275"/>
      <c r="P35" s="275"/>
      <c r="Q35" s="521"/>
      <c r="R35" s="112">
        <v>3</v>
      </c>
      <c r="S35" s="81">
        <f t="shared" si="1"/>
        <v>18</v>
      </c>
      <c r="T35" s="86">
        <f t="shared" si="2"/>
        <v>1</v>
      </c>
      <c r="U35" s="671">
        <f t="shared" si="6"/>
        <v>18</v>
      </c>
      <c r="V35" s="672"/>
      <c r="W35" s="90"/>
      <c r="X35" s="91"/>
      <c r="Y35" s="91"/>
      <c r="Z35" s="91"/>
      <c r="AA35" s="91">
        <v>18</v>
      </c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2"/>
      <c r="AN35" s="68"/>
      <c r="AO35" s="68"/>
    </row>
    <row r="36" spans="1:41" ht="171" customHeight="1">
      <c r="A36" s="530" t="s">
        <v>146</v>
      </c>
      <c r="B36" s="512" t="s">
        <v>147</v>
      </c>
      <c r="C36" s="62" t="s">
        <v>525</v>
      </c>
      <c r="D36" s="61" t="s">
        <v>152</v>
      </c>
      <c r="E36" s="61" t="s">
        <v>153</v>
      </c>
      <c r="F36" s="61" t="s">
        <v>154</v>
      </c>
      <c r="G36" s="61" t="s">
        <v>526</v>
      </c>
      <c r="H36" s="61" t="s">
        <v>156</v>
      </c>
      <c r="I36" s="63">
        <v>44459</v>
      </c>
      <c r="J36" s="663">
        <v>4</v>
      </c>
      <c r="K36" s="663">
        <v>5</v>
      </c>
      <c r="L36" s="663">
        <v>8</v>
      </c>
      <c r="M36" s="64">
        <f t="shared" si="3"/>
        <v>5.333333333333333</v>
      </c>
      <c r="N36" s="341">
        <f t="shared" ref="N36:N37" si="11">($S$95+$S$96)*M36</f>
        <v>155.46666666666664</v>
      </c>
      <c r="O36" s="275"/>
      <c r="P36" s="275"/>
      <c r="Q36" s="521"/>
      <c r="R36" s="112">
        <v>3</v>
      </c>
      <c r="S36" s="81">
        <f t="shared" si="1"/>
        <v>16</v>
      </c>
      <c r="T36" s="86">
        <f t="shared" si="2"/>
        <v>1</v>
      </c>
      <c r="U36" s="671">
        <f t="shared" si="6"/>
        <v>16</v>
      </c>
      <c r="V36" s="672"/>
      <c r="W36" s="90"/>
      <c r="X36" s="91"/>
      <c r="Y36" s="91"/>
      <c r="Z36" s="91"/>
      <c r="AA36" s="91"/>
      <c r="AB36" s="91">
        <v>10</v>
      </c>
      <c r="AC36" s="91">
        <v>3</v>
      </c>
      <c r="AD36" s="91">
        <v>3</v>
      </c>
      <c r="AE36" s="91"/>
      <c r="AF36" s="91"/>
      <c r="AG36" s="91"/>
      <c r="AH36" s="91"/>
      <c r="AI36" s="91"/>
      <c r="AJ36" s="91"/>
      <c r="AK36" s="91"/>
      <c r="AL36" s="91"/>
      <c r="AM36" s="92"/>
      <c r="AN36" s="68"/>
      <c r="AO36" s="68"/>
    </row>
    <row r="37" spans="1:41" ht="150" customHeight="1">
      <c r="A37" s="531"/>
      <c r="B37" s="513"/>
      <c r="C37" s="62" t="s">
        <v>527</v>
      </c>
      <c r="D37" s="61" t="s">
        <v>528</v>
      </c>
      <c r="E37" s="61" t="s">
        <v>161</v>
      </c>
      <c r="F37" s="61" t="s">
        <v>154</v>
      </c>
      <c r="G37" s="61" t="s">
        <v>526</v>
      </c>
      <c r="H37" s="61" t="s">
        <v>162</v>
      </c>
      <c r="I37" s="63">
        <v>44459</v>
      </c>
      <c r="J37" s="663">
        <v>4</v>
      </c>
      <c r="K37" s="663">
        <v>5</v>
      </c>
      <c r="L37" s="663">
        <v>8</v>
      </c>
      <c r="M37" s="64">
        <f t="shared" si="3"/>
        <v>5.333333333333333</v>
      </c>
      <c r="N37" s="341">
        <f>($S$95+$S$96)*M37</f>
        <v>155.46666666666664</v>
      </c>
      <c r="O37" s="275"/>
      <c r="P37" s="275"/>
      <c r="Q37" s="521"/>
      <c r="R37" s="112">
        <v>3</v>
      </c>
      <c r="S37" s="81">
        <f t="shared" si="1"/>
        <v>16</v>
      </c>
      <c r="T37" s="86">
        <f t="shared" si="2"/>
        <v>1</v>
      </c>
      <c r="U37" s="671">
        <f t="shared" si="6"/>
        <v>16</v>
      </c>
      <c r="V37" s="672"/>
      <c r="W37" s="90"/>
      <c r="X37" s="91"/>
      <c r="Y37" s="91"/>
      <c r="Z37" s="91"/>
      <c r="AA37" s="91"/>
      <c r="AB37" s="91">
        <v>13</v>
      </c>
      <c r="AC37" s="91">
        <v>3</v>
      </c>
      <c r="AD37" s="91"/>
      <c r="AE37" s="91"/>
      <c r="AF37" s="91"/>
      <c r="AG37" s="91"/>
      <c r="AH37" s="91"/>
      <c r="AI37" s="91"/>
      <c r="AJ37" s="91"/>
      <c r="AK37" s="91"/>
      <c r="AL37" s="91"/>
      <c r="AM37" s="92"/>
      <c r="AN37" s="68"/>
      <c r="AO37" s="68"/>
    </row>
    <row r="38" spans="1:41" ht="150" customHeight="1">
      <c r="A38" s="531"/>
      <c r="B38" s="512" t="s">
        <v>163</v>
      </c>
      <c r="C38" s="62" t="s">
        <v>166</v>
      </c>
      <c r="D38" s="61" t="s">
        <v>168</v>
      </c>
      <c r="E38" s="61" t="s">
        <v>529</v>
      </c>
      <c r="F38" s="61" t="s">
        <v>154</v>
      </c>
      <c r="G38" s="61" t="s">
        <v>530</v>
      </c>
      <c r="H38" s="61" t="s">
        <v>171</v>
      </c>
      <c r="I38" s="63">
        <v>44461</v>
      </c>
      <c r="J38" s="663">
        <v>4</v>
      </c>
      <c r="K38" s="663">
        <v>5</v>
      </c>
      <c r="L38" s="663">
        <v>10</v>
      </c>
      <c r="M38" s="64">
        <v>1</v>
      </c>
      <c r="N38" s="341">
        <f>$S$95+(4*$S$96)*M38</f>
        <v>60.5</v>
      </c>
      <c r="O38" s="275"/>
      <c r="P38" s="275"/>
      <c r="Q38" s="521"/>
      <c r="R38" s="112">
        <v>3</v>
      </c>
      <c r="S38" s="81">
        <f t="shared" si="1"/>
        <v>3</v>
      </c>
      <c r="T38" s="86">
        <f t="shared" si="2"/>
        <v>1</v>
      </c>
      <c r="U38" s="671">
        <f t="shared" si="6"/>
        <v>3</v>
      </c>
      <c r="V38" s="672"/>
      <c r="W38" s="90"/>
      <c r="X38" s="91"/>
      <c r="Y38" s="91"/>
      <c r="Z38" s="91"/>
      <c r="AA38" s="91"/>
      <c r="AB38" s="91">
        <v>3</v>
      </c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2"/>
      <c r="AN38" s="68"/>
      <c r="AO38" s="68"/>
    </row>
    <row r="39" spans="1:41" ht="150" customHeight="1">
      <c r="A39" s="531"/>
      <c r="B39" s="513"/>
      <c r="C39" s="62" t="s">
        <v>531</v>
      </c>
      <c r="D39" s="61" t="s">
        <v>175</v>
      </c>
      <c r="E39" s="61" t="s">
        <v>176</v>
      </c>
      <c r="F39" s="61" t="s">
        <v>154</v>
      </c>
      <c r="G39" s="61" t="s">
        <v>530</v>
      </c>
      <c r="H39" s="61" t="s">
        <v>177</v>
      </c>
      <c r="I39" s="63">
        <v>44462</v>
      </c>
      <c r="J39" s="663">
        <v>2</v>
      </c>
      <c r="K39" s="663">
        <v>4</v>
      </c>
      <c r="L39" s="663">
        <v>6</v>
      </c>
      <c r="M39" s="64">
        <v>1</v>
      </c>
      <c r="N39" s="341">
        <f t="shared" ref="N39:N48" si="12">$S$95+(4*$S$96)*M39</f>
        <v>60.5</v>
      </c>
      <c r="O39" s="275"/>
      <c r="P39" s="275"/>
      <c r="Q39" s="521"/>
      <c r="R39" s="112">
        <v>2</v>
      </c>
      <c r="S39" s="81">
        <f t="shared" si="1"/>
        <v>2</v>
      </c>
      <c r="T39" s="86">
        <f t="shared" si="2"/>
        <v>1</v>
      </c>
      <c r="U39" s="671">
        <f t="shared" si="6"/>
        <v>2</v>
      </c>
      <c r="V39" s="672"/>
      <c r="W39" s="90"/>
      <c r="X39" s="91"/>
      <c r="Y39" s="91"/>
      <c r="Z39" s="91"/>
      <c r="AA39" s="91"/>
      <c r="AB39" s="91">
        <v>2</v>
      </c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2"/>
      <c r="AN39" s="68"/>
      <c r="AO39" s="68"/>
    </row>
    <row r="40" spans="1:41" ht="150" customHeight="1">
      <c r="A40" s="531"/>
      <c r="B40" s="513"/>
      <c r="C40" s="62" t="s">
        <v>180</v>
      </c>
      <c r="D40" s="61" t="s">
        <v>182</v>
      </c>
      <c r="E40" s="61" t="s">
        <v>183</v>
      </c>
      <c r="F40" s="61" t="s">
        <v>154</v>
      </c>
      <c r="G40" s="61" t="s">
        <v>530</v>
      </c>
      <c r="H40" s="61" t="s">
        <v>184</v>
      </c>
      <c r="I40" s="63">
        <v>44462</v>
      </c>
      <c r="J40" s="663">
        <v>2</v>
      </c>
      <c r="K40" s="663">
        <v>4</v>
      </c>
      <c r="L40" s="663">
        <v>6</v>
      </c>
      <c r="M40" s="64">
        <v>1</v>
      </c>
      <c r="N40" s="341">
        <f>$S$95+(4*$S$96)*M40</f>
        <v>60.5</v>
      </c>
      <c r="O40" s="275"/>
      <c r="P40" s="275"/>
      <c r="Q40" s="521"/>
      <c r="R40" s="112">
        <v>2</v>
      </c>
      <c r="S40" s="81">
        <f t="shared" si="1"/>
        <v>2</v>
      </c>
      <c r="T40" s="86">
        <f t="shared" si="2"/>
        <v>1</v>
      </c>
      <c r="U40" s="671">
        <f t="shared" si="6"/>
        <v>2</v>
      </c>
      <c r="V40" s="672"/>
      <c r="W40" s="90"/>
      <c r="X40" s="91"/>
      <c r="Y40" s="91"/>
      <c r="Z40" s="91"/>
      <c r="AA40" s="91"/>
      <c r="AB40" s="91">
        <v>2</v>
      </c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2"/>
      <c r="AN40" s="68"/>
      <c r="AO40" s="68"/>
    </row>
    <row r="41" spans="1:41" ht="150" customHeight="1">
      <c r="A41" s="531"/>
      <c r="B41" s="514"/>
      <c r="C41" s="200" t="s">
        <v>187</v>
      </c>
      <c r="D41" s="201" t="s">
        <v>532</v>
      </c>
      <c r="E41" s="201" t="s">
        <v>189</v>
      </c>
      <c r="F41" s="201" t="s">
        <v>154</v>
      </c>
      <c r="G41" s="61" t="s">
        <v>530</v>
      </c>
      <c r="H41" s="201" t="s">
        <v>190</v>
      </c>
      <c r="I41" s="63">
        <v>44462</v>
      </c>
      <c r="J41" s="663">
        <v>2</v>
      </c>
      <c r="K41" s="663">
        <v>4</v>
      </c>
      <c r="L41" s="663">
        <v>6</v>
      </c>
      <c r="M41" s="64">
        <v>1</v>
      </c>
      <c r="N41" s="341">
        <f>$S$95+(4*$S$96)*M41</f>
        <v>60.5</v>
      </c>
      <c r="O41" s="275"/>
      <c r="P41" s="275"/>
      <c r="Q41" s="521"/>
      <c r="R41" s="112">
        <v>3</v>
      </c>
      <c r="S41" s="81">
        <f t="shared" si="1"/>
        <v>3</v>
      </c>
      <c r="T41" s="86">
        <f t="shared" si="2"/>
        <v>1</v>
      </c>
      <c r="U41" s="671">
        <f t="shared" si="6"/>
        <v>3</v>
      </c>
      <c r="V41" s="672"/>
      <c r="W41" s="90"/>
      <c r="X41" s="91"/>
      <c r="Y41" s="91"/>
      <c r="Z41" s="91"/>
      <c r="AA41" s="91"/>
      <c r="AB41" s="91">
        <v>3</v>
      </c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2"/>
      <c r="AN41" s="68"/>
      <c r="AO41" s="68"/>
    </row>
    <row r="42" spans="1:41" ht="150" customHeight="1">
      <c r="A42" s="531"/>
      <c r="B42" s="509" t="s">
        <v>191</v>
      </c>
      <c r="C42" s="62" t="s">
        <v>194</v>
      </c>
      <c r="D42" s="61" t="s">
        <v>168</v>
      </c>
      <c r="E42" s="61" t="s">
        <v>169</v>
      </c>
      <c r="F42" s="61" t="s">
        <v>154</v>
      </c>
      <c r="G42" s="61" t="s">
        <v>533</v>
      </c>
      <c r="H42" s="61" t="s">
        <v>196</v>
      </c>
      <c r="I42" s="63">
        <v>44463</v>
      </c>
      <c r="J42" s="663">
        <v>2</v>
      </c>
      <c r="K42" s="663">
        <v>4</v>
      </c>
      <c r="L42" s="663">
        <v>6</v>
      </c>
      <c r="M42" s="64">
        <v>1</v>
      </c>
      <c r="N42" s="341">
        <f>$S$95+(4*$S$96)*M42</f>
        <v>60.5</v>
      </c>
      <c r="O42" s="275"/>
      <c r="P42" s="275"/>
      <c r="Q42" s="521"/>
      <c r="R42" s="112">
        <v>2</v>
      </c>
      <c r="S42" s="81">
        <f t="shared" si="1"/>
        <v>2</v>
      </c>
      <c r="T42" s="86">
        <f t="shared" si="2"/>
        <v>1</v>
      </c>
      <c r="U42" s="671">
        <f t="shared" si="6"/>
        <v>2</v>
      </c>
      <c r="V42" s="672"/>
      <c r="W42" s="90"/>
      <c r="X42" s="91"/>
      <c r="Y42" s="91"/>
      <c r="Z42" s="91"/>
      <c r="AA42" s="91"/>
      <c r="AB42" s="91"/>
      <c r="AC42" s="91">
        <v>2</v>
      </c>
      <c r="AD42" s="91"/>
      <c r="AE42" s="91"/>
      <c r="AF42" s="91"/>
      <c r="AG42" s="91"/>
      <c r="AH42" s="91"/>
      <c r="AI42" s="91"/>
      <c r="AJ42" s="91"/>
      <c r="AK42" s="91"/>
      <c r="AL42" s="91"/>
      <c r="AM42" s="92"/>
      <c r="AN42" s="68"/>
      <c r="AO42" s="68"/>
    </row>
    <row r="43" spans="1:41" ht="150" customHeight="1">
      <c r="A43" s="531"/>
      <c r="B43" s="510"/>
      <c r="C43" s="62" t="s">
        <v>534</v>
      </c>
      <c r="D43" s="57" t="s">
        <v>535</v>
      </c>
      <c r="E43" s="57" t="s">
        <v>536</v>
      </c>
      <c r="F43" s="61" t="s">
        <v>154</v>
      </c>
      <c r="G43" s="61" t="s">
        <v>533</v>
      </c>
      <c r="H43" s="61" t="s">
        <v>202</v>
      </c>
      <c r="I43" s="63">
        <v>44463</v>
      </c>
      <c r="J43" s="663">
        <v>4</v>
      </c>
      <c r="K43" s="663">
        <v>6</v>
      </c>
      <c r="L43" s="663">
        <v>8</v>
      </c>
      <c r="M43" s="64">
        <v>1</v>
      </c>
      <c r="N43" s="341">
        <f>$S$95+(4*$S$96)*M43</f>
        <v>60.5</v>
      </c>
      <c r="O43" s="275"/>
      <c r="P43" s="275"/>
      <c r="Q43" s="521"/>
      <c r="R43" s="112">
        <v>3</v>
      </c>
      <c r="S43" s="81">
        <f t="shared" si="1"/>
        <v>3</v>
      </c>
      <c r="T43" s="86">
        <f t="shared" si="2"/>
        <v>1</v>
      </c>
      <c r="U43" s="671">
        <f t="shared" si="6"/>
        <v>3</v>
      </c>
      <c r="V43" s="672"/>
      <c r="W43" s="90"/>
      <c r="X43" s="91"/>
      <c r="Y43" s="91"/>
      <c r="Z43" s="91"/>
      <c r="AA43" s="91"/>
      <c r="AB43" s="91"/>
      <c r="AC43" s="91">
        <v>3</v>
      </c>
      <c r="AD43" s="91"/>
      <c r="AE43" s="91"/>
      <c r="AF43" s="91"/>
      <c r="AG43" s="91"/>
      <c r="AH43" s="91"/>
      <c r="AI43" s="91"/>
      <c r="AJ43" s="91"/>
      <c r="AK43" s="91"/>
      <c r="AL43" s="91"/>
      <c r="AM43" s="92"/>
      <c r="AN43" s="68"/>
      <c r="AO43" s="68"/>
    </row>
    <row r="44" spans="1:41" ht="150" customHeight="1">
      <c r="A44" s="531"/>
      <c r="B44" s="510"/>
      <c r="C44" s="62" t="s">
        <v>537</v>
      </c>
      <c r="D44" s="57" t="s">
        <v>538</v>
      </c>
      <c r="E44" s="57" t="s">
        <v>539</v>
      </c>
      <c r="F44" s="61" t="s">
        <v>154</v>
      </c>
      <c r="G44" s="61" t="s">
        <v>533</v>
      </c>
      <c r="H44" s="61" t="s">
        <v>208</v>
      </c>
      <c r="I44" s="63">
        <v>44466</v>
      </c>
      <c r="J44" s="663">
        <v>4</v>
      </c>
      <c r="K44" s="663">
        <v>6</v>
      </c>
      <c r="L44" s="663">
        <v>8</v>
      </c>
      <c r="M44" s="64">
        <v>1</v>
      </c>
      <c r="N44" s="341">
        <f t="shared" si="12"/>
        <v>60.5</v>
      </c>
      <c r="O44" s="275"/>
      <c r="P44" s="275"/>
      <c r="Q44" s="521"/>
      <c r="R44" s="112">
        <v>2</v>
      </c>
      <c r="S44" s="81">
        <f t="shared" si="1"/>
        <v>2</v>
      </c>
      <c r="T44" s="86">
        <f t="shared" si="2"/>
        <v>1</v>
      </c>
      <c r="U44" s="671">
        <f t="shared" si="6"/>
        <v>2</v>
      </c>
      <c r="V44" s="672"/>
      <c r="W44" s="90"/>
      <c r="X44" s="91"/>
      <c r="Y44" s="91"/>
      <c r="Z44" s="91"/>
      <c r="AA44" s="91"/>
      <c r="AB44" s="91">
        <v>2</v>
      </c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2"/>
      <c r="AN44" s="68"/>
      <c r="AO44" s="68"/>
    </row>
    <row r="45" spans="1:41" ht="150" customHeight="1">
      <c r="A45" s="531"/>
      <c r="B45" s="509" t="s">
        <v>209</v>
      </c>
      <c r="C45" s="62" t="s">
        <v>540</v>
      </c>
      <c r="D45" s="57" t="s">
        <v>168</v>
      </c>
      <c r="E45" s="57" t="s">
        <v>169</v>
      </c>
      <c r="F45" s="61" t="s">
        <v>154</v>
      </c>
      <c r="G45" s="61" t="s">
        <v>541</v>
      </c>
      <c r="H45" s="61" t="s">
        <v>210</v>
      </c>
      <c r="I45" s="63">
        <v>44474</v>
      </c>
      <c r="J45" s="663">
        <v>2</v>
      </c>
      <c r="K45" s="663">
        <v>5</v>
      </c>
      <c r="L45" s="663">
        <v>8</v>
      </c>
      <c r="M45" s="64">
        <v>6</v>
      </c>
      <c r="N45" s="341">
        <f t="shared" si="12"/>
        <v>269.5</v>
      </c>
      <c r="O45" s="275"/>
      <c r="P45" s="275"/>
      <c r="Q45" s="521"/>
      <c r="R45" s="112">
        <v>2</v>
      </c>
      <c r="S45" s="81">
        <f t="shared" si="1"/>
        <v>12</v>
      </c>
      <c r="T45" s="86">
        <f t="shared" si="2"/>
        <v>1</v>
      </c>
      <c r="U45" s="671">
        <f t="shared" si="6"/>
        <v>12</v>
      </c>
      <c r="V45" s="672"/>
      <c r="W45" s="90"/>
      <c r="X45" s="91"/>
      <c r="Y45" s="91"/>
      <c r="Z45" s="91"/>
      <c r="AA45" s="91"/>
      <c r="AB45" s="91"/>
      <c r="AC45" s="91"/>
      <c r="AD45" s="91">
        <v>5</v>
      </c>
      <c r="AE45" s="91">
        <v>5</v>
      </c>
      <c r="AF45" s="91">
        <v>2</v>
      </c>
      <c r="AG45" s="91"/>
      <c r="AH45" s="91"/>
      <c r="AI45" s="91"/>
      <c r="AJ45" s="91"/>
      <c r="AK45" s="91"/>
      <c r="AL45" s="91"/>
      <c r="AM45" s="92"/>
      <c r="AN45" s="68"/>
      <c r="AO45" s="68"/>
    </row>
    <row r="46" spans="1:41" ht="150" customHeight="1">
      <c r="A46" s="531"/>
      <c r="B46" s="510"/>
      <c r="C46" s="62" t="s">
        <v>542</v>
      </c>
      <c r="D46" s="57" t="s">
        <v>543</v>
      </c>
      <c r="E46" s="57" t="s">
        <v>544</v>
      </c>
      <c r="F46" s="61" t="s">
        <v>154</v>
      </c>
      <c r="G46" s="61" t="s">
        <v>541</v>
      </c>
      <c r="H46" s="57" t="s">
        <v>545</v>
      </c>
      <c r="I46" s="63">
        <v>44476</v>
      </c>
      <c r="J46" s="663">
        <v>2</v>
      </c>
      <c r="K46" s="663">
        <v>3</v>
      </c>
      <c r="L46" s="663">
        <v>4</v>
      </c>
      <c r="M46" s="64">
        <f t="shared" si="3"/>
        <v>3</v>
      </c>
      <c r="N46" s="341">
        <f t="shared" si="12"/>
        <v>144.1</v>
      </c>
      <c r="O46" s="275"/>
      <c r="P46" s="275"/>
      <c r="Q46" s="521"/>
      <c r="R46" s="112">
        <v>3</v>
      </c>
      <c r="S46" s="81">
        <f t="shared" si="1"/>
        <v>9</v>
      </c>
      <c r="T46" s="86">
        <f t="shared" si="2"/>
        <v>1</v>
      </c>
      <c r="U46" s="671">
        <f t="shared" si="6"/>
        <v>9</v>
      </c>
      <c r="V46" s="672"/>
      <c r="W46" s="90"/>
      <c r="X46" s="91"/>
      <c r="Y46" s="91"/>
      <c r="Z46" s="91"/>
      <c r="AA46" s="91"/>
      <c r="AB46" s="91"/>
      <c r="AC46" s="91"/>
      <c r="AD46" s="91">
        <v>2</v>
      </c>
      <c r="AE46" s="91">
        <v>7</v>
      </c>
      <c r="AF46" s="91"/>
      <c r="AG46" s="91"/>
      <c r="AH46" s="91"/>
      <c r="AI46" s="91"/>
      <c r="AJ46" s="91"/>
      <c r="AK46" s="91"/>
      <c r="AL46" s="91"/>
      <c r="AM46" s="92"/>
      <c r="AN46" s="68"/>
      <c r="AO46" s="68"/>
    </row>
    <row r="47" spans="1:41" ht="150" customHeight="1">
      <c r="A47" s="531"/>
      <c r="B47" s="510"/>
      <c r="C47" s="62" t="s">
        <v>546</v>
      </c>
      <c r="D47" s="58" t="s">
        <v>547</v>
      </c>
      <c r="E47" s="58" t="s">
        <v>548</v>
      </c>
      <c r="F47" s="61" t="s">
        <v>154</v>
      </c>
      <c r="G47" s="61" t="s">
        <v>541</v>
      </c>
      <c r="H47" s="57" t="s">
        <v>222</v>
      </c>
      <c r="I47" s="63">
        <v>44477</v>
      </c>
      <c r="J47" s="663">
        <v>2</v>
      </c>
      <c r="K47" s="663">
        <v>3</v>
      </c>
      <c r="L47" s="663">
        <v>4</v>
      </c>
      <c r="M47" s="64">
        <f t="shared" si="3"/>
        <v>3</v>
      </c>
      <c r="N47" s="341">
        <f t="shared" si="12"/>
        <v>144.1</v>
      </c>
      <c r="O47" s="275"/>
      <c r="P47" s="275"/>
      <c r="Q47" s="521"/>
      <c r="R47" s="112">
        <v>3</v>
      </c>
      <c r="S47" s="81">
        <f t="shared" si="1"/>
        <v>9</v>
      </c>
      <c r="T47" s="86">
        <f t="shared" si="2"/>
        <v>1</v>
      </c>
      <c r="U47" s="671">
        <f t="shared" si="6"/>
        <v>9</v>
      </c>
      <c r="V47" s="672"/>
      <c r="W47" s="90"/>
      <c r="X47" s="91"/>
      <c r="Y47" s="91"/>
      <c r="Z47" s="91"/>
      <c r="AA47" s="91"/>
      <c r="AB47" s="91"/>
      <c r="AC47" s="91"/>
      <c r="AD47" s="91"/>
      <c r="AE47" s="91">
        <v>9</v>
      </c>
      <c r="AF47" s="91"/>
      <c r="AG47" s="91"/>
      <c r="AH47" s="91"/>
      <c r="AI47" s="91"/>
      <c r="AJ47" s="91"/>
      <c r="AK47" s="91"/>
      <c r="AL47" s="91"/>
      <c r="AM47" s="92"/>
      <c r="AN47" s="68"/>
      <c r="AO47" s="68"/>
    </row>
    <row r="48" spans="1:41" ht="150" customHeight="1">
      <c r="A48" s="531"/>
      <c r="B48" s="511"/>
      <c r="C48" s="62" t="s">
        <v>549</v>
      </c>
      <c r="D48" s="58" t="s">
        <v>550</v>
      </c>
      <c r="E48" s="58" t="s">
        <v>551</v>
      </c>
      <c r="F48" s="61" t="s">
        <v>154</v>
      </c>
      <c r="G48" s="61" t="s">
        <v>541</v>
      </c>
      <c r="H48" s="57" t="s">
        <v>227</v>
      </c>
      <c r="I48" s="63">
        <v>44477</v>
      </c>
      <c r="J48" s="663">
        <v>1</v>
      </c>
      <c r="K48" s="663">
        <v>2</v>
      </c>
      <c r="L48" s="663">
        <v>3</v>
      </c>
      <c r="M48" s="64">
        <f t="shared" si="3"/>
        <v>2</v>
      </c>
      <c r="N48" s="341">
        <f t="shared" si="12"/>
        <v>102.3</v>
      </c>
      <c r="O48" s="275"/>
      <c r="P48" s="275"/>
      <c r="Q48" s="521"/>
      <c r="R48" s="112">
        <v>3</v>
      </c>
      <c r="S48" s="81">
        <f t="shared" si="1"/>
        <v>6</v>
      </c>
      <c r="T48" s="86">
        <f t="shared" si="2"/>
        <v>1</v>
      </c>
      <c r="U48" s="671">
        <f t="shared" si="6"/>
        <v>6</v>
      </c>
      <c r="V48" s="672"/>
      <c r="W48" s="90"/>
      <c r="X48" s="91"/>
      <c r="Y48" s="91"/>
      <c r="Z48" s="91"/>
      <c r="AA48" s="91"/>
      <c r="AB48" s="91"/>
      <c r="AC48" s="91"/>
      <c r="AD48" s="91"/>
      <c r="AE48" s="91">
        <v>6</v>
      </c>
      <c r="AF48" s="91"/>
      <c r="AG48" s="91"/>
      <c r="AH48" s="91"/>
      <c r="AI48" s="91"/>
      <c r="AJ48" s="91"/>
      <c r="AK48" s="91"/>
      <c r="AL48" s="91"/>
      <c r="AM48" s="92"/>
      <c r="AN48" s="68"/>
      <c r="AO48" s="68"/>
    </row>
    <row r="49" spans="1:41" ht="150" customHeight="1">
      <c r="A49" s="531"/>
      <c r="B49" s="509" t="s">
        <v>552</v>
      </c>
      <c r="C49" s="62" t="s">
        <v>553</v>
      </c>
      <c r="D49" s="62" t="s">
        <v>554</v>
      </c>
      <c r="E49" s="57" t="s">
        <v>234</v>
      </c>
      <c r="F49" s="61" t="s">
        <v>154</v>
      </c>
      <c r="G49" s="62" t="s">
        <v>555</v>
      </c>
      <c r="H49" s="57" t="s">
        <v>235</v>
      </c>
      <c r="I49" s="203">
        <v>44487</v>
      </c>
      <c r="J49" s="663">
        <v>3</v>
      </c>
      <c r="K49" s="667">
        <v>4</v>
      </c>
      <c r="L49" s="667">
        <v>8</v>
      </c>
      <c r="M49" s="64">
        <f t="shared" si="3"/>
        <v>4.5</v>
      </c>
      <c r="N49" s="341">
        <f>($S$95+$S$96)*M49</f>
        <v>131.17499999999998</v>
      </c>
      <c r="O49" s="275"/>
      <c r="P49" s="275"/>
      <c r="Q49" s="521"/>
      <c r="R49" s="112">
        <v>2</v>
      </c>
      <c r="S49" s="81">
        <f t="shared" si="1"/>
        <v>9</v>
      </c>
      <c r="T49" s="86">
        <f t="shared" si="2"/>
        <v>1</v>
      </c>
      <c r="U49" s="671">
        <f t="shared" si="6"/>
        <v>9</v>
      </c>
      <c r="V49" s="672"/>
      <c r="W49" s="90"/>
      <c r="X49" s="91"/>
      <c r="Y49" s="91"/>
      <c r="Z49" s="91"/>
      <c r="AA49" s="91"/>
      <c r="AB49" s="91"/>
      <c r="AC49" s="91"/>
      <c r="AD49" s="91"/>
      <c r="AE49" s="91"/>
      <c r="AF49" s="91">
        <v>3</v>
      </c>
      <c r="AG49" s="91">
        <v>6</v>
      </c>
      <c r="AH49" s="91"/>
      <c r="AI49" s="91"/>
      <c r="AJ49" s="91"/>
      <c r="AK49" s="91"/>
      <c r="AL49" s="91"/>
      <c r="AM49" s="92"/>
      <c r="AN49" s="68"/>
      <c r="AO49" s="68"/>
    </row>
    <row r="50" spans="1:41" ht="150" customHeight="1">
      <c r="A50" s="531"/>
      <c r="B50" s="510"/>
      <c r="C50" s="62" t="s">
        <v>556</v>
      </c>
      <c r="D50" s="57" t="s">
        <v>557</v>
      </c>
      <c r="E50" s="57" t="s">
        <v>558</v>
      </c>
      <c r="F50" s="61" t="s">
        <v>154</v>
      </c>
      <c r="G50" s="62" t="s">
        <v>555</v>
      </c>
      <c r="H50" s="57" t="s">
        <v>241</v>
      </c>
      <c r="I50" s="203">
        <v>44493</v>
      </c>
      <c r="J50" s="663">
        <v>2</v>
      </c>
      <c r="K50" s="667">
        <v>4</v>
      </c>
      <c r="L50" s="667">
        <v>6</v>
      </c>
      <c r="M50" s="64">
        <f t="shared" si="3"/>
        <v>4</v>
      </c>
      <c r="N50" s="341">
        <f t="shared" ref="N50:N51" si="13">($S$95+$S$96)*M50</f>
        <v>116.6</v>
      </c>
      <c r="O50" s="275"/>
      <c r="P50" s="275"/>
      <c r="Q50" s="521"/>
      <c r="R50" s="112">
        <v>2</v>
      </c>
      <c r="S50" s="81">
        <f t="shared" si="1"/>
        <v>8</v>
      </c>
      <c r="T50" s="86">
        <f t="shared" si="2"/>
        <v>1</v>
      </c>
      <c r="U50" s="671">
        <f t="shared" si="6"/>
        <v>8</v>
      </c>
      <c r="V50" s="672"/>
      <c r="W50" s="90"/>
      <c r="X50" s="91"/>
      <c r="Y50" s="91"/>
      <c r="Z50" s="91"/>
      <c r="AA50" s="91"/>
      <c r="AB50" s="91"/>
      <c r="AC50" s="91"/>
      <c r="AD50" s="91"/>
      <c r="AE50" s="91"/>
      <c r="AF50" s="91"/>
      <c r="AG50" s="91">
        <v>8</v>
      </c>
      <c r="AH50" s="91"/>
      <c r="AI50" s="91"/>
      <c r="AJ50" s="91"/>
      <c r="AK50" s="91"/>
      <c r="AL50" s="91"/>
      <c r="AM50" s="92"/>
      <c r="AN50" s="68"/>
      <c r="AO50" s="68"/>
    </row>
    <row r="51" spans="1:41" ht="150" customHeight="1">
      <c r="A51" s="531"/>
      <c r="B51" s="510"/>
      <c r="C51" s="200" t="s">
        <v>559</v>
      </c>
      <c r="D51" s="201" t="s">
        <v>560</v>
      </c>
      <c r="E51" s="201" t="s">
        <v>246</v>
      </c>
      <c r="F51" s="201" t="s">
        <v>154</v>
      </c>
      <c r="G51" s="62" t="s">
        <v>555</v>
      </c>
      <c r="H51" s="201" t="s">
        <v>247</v>
      </c>
      <c r="I51" s="203">
        <v>44493</v>
      </c>
      <c r="J51" s="663">
        <v>1</v>
      </c>
      <c r="K51" s="667">
        <v>3</v>
      </c>
      <c r="L51" s="667">
        <v>5</v>
      </c>
      <c r="M51" s="64">
        <f t="shared" si="3"/>
        <v>3</v>
      </c>
      <c r="N51" s="341">
        <f>($S$95+$S$96)*M51</f>
        <v>87.449999999999989</v>
      </c>
      <c r="O51" s="275"/>
      <c r="P51" s="275"/>
      <c r="Q51" s="521"/>
      <c r="R51" s="112">
        <v>3</v>
      </c>
      <c r="S51" s="81">
        <f t="shared" si="1"/>
        <v>9</v>
      </c>
      <c r="T51" s="86">
        <f t="shared" si="2"/>
        <v>1</v>
      </c>
      <c r="U51" s="671">
        <f t="shared" si="6"/>
        <v>9</v>
      </c>
      <c r="V51" s="672"/>
      <c r="W51" s="90"/>
      <c r="X51" s="91"/>
      <c r="Y51" s="91"/>
      <c r="Z51" s="91"/>
      <c r="AA51" s="91"/>
      <c r="AB51" s="91"/>
      <c r="AC51" s="91"/>
      <c r="AD51" s="91"/>
      <c r="AE51" s="91"/>
      <c r="AF51" s="91"/>
      <c r="AG51" s="91">
        <v>9</v>
      </c>
      <c r="AH51" s="91"/>
      <c r="AI51" s="91"/>
      <c r="AJ51" s="91"/>
      <c r="AK51" s="91"/>
      <c r="AL51" s="91"/>
      <c r="AM51" s="92"/>
      <c r="AN51" s="68"/>
      <c r="AO51" s="68"/>
    </row>
    <row r="52" spans="1:41" ht="150" customHeight="1">
      <c r="A52" s="531"/>
      <c r="B52" s="509" t="s">
        <v>248</v>
      </c>
      <c r="C52" s="58" t="s">
        <v>251</v>
      </c>
      <c r="D52" s="58" t="s">
        <v>561</v>
      </c>
      <c r="E52" s="57" t="s">
        <v>562</v>
      </c>
      <c r="F52" s="61" t="s">
        <v>154</v>
      </c>
      <c r="G52" s="61" t="s">
        <v>563</v>
      </c>
      <c r="H52" s="57" t="s">
        <v>256</v>
      </c>
      <c r="I52" s="203">
        <v>44497</v>
      </c>
      <c r="J52" s="663">
        <v>4</v>
      </c>
      <c r="K52" s="663">
        <v>6</v>
      </c>
      <c r="L52" s="663">
        <v>8</v>
      </c>
      <c r="M52" s="64">
        <f t="shared" si="3"/>
        <v>6</v>
      </c>
      <c r="N52" s="341">
        <f>$S$95+(2*$S$96)*M52</f>
        <v>144.1</v>
      </c>
      <c r="O52" s="275"/>
      <c r="P52" s="275"/>
      <c r="Q52" s="521"/>
      <c r="R52" s="112">
        <v>1</v>
      </c>
      <c r="S52" s="81">
        <f t="shared" si="1"/>
        <v>6</v>
      </c>
      <c r="T52" s="86">
        <f t="shared" si="2"/>
        <v>1</v>
      </c>
      <c r="U52" s="671">
        <f t="shared" si="6"/>
        <v>6</v>
      </c>
      <c r="V52" s="672"/>
      <c r="W52" s="90"/>
      <c r="X52" s="91"/>
      <c r="Y52" s="91"/>
      <c r="Z52" s="91"/>
      <c r="AA52" s="91"/>
      <c r="AB52" s="91"/>
      <c r="AC52" s="91"/>
      <c r="AD52" s="91"/>
      <c r="AE52" s="91"/>
      <c r="AF52" s="91"/>
      <c r="AG52" s="91">
        <v>6</v>
      </c>
      <c r="AH52" s="91"/>
      <c r="AI52" s="91"/>
      <c r="AJ52" s="91"/>
      <c r="AK52" s="91"/>
      <c r="AL52" s="91"/>
      <c r="AM52" s="92"/>
      <c r="AN52" s="68"/>
      <c r="AO52" s="68"/>
    </row>
    <row r="53" spans="1:41" ht="150" customHeight="1">
      <c r="A53" s="531"/>
      <c r="B53" s="510"/>
      <c r="C53" s="58" t="s">
        <v>564</v>
      </c>
      <c r="D53" s="58" t="s">
        <v>565</v>
      </c>
      <c r="E53" s="57" t="s">
        <v>566</v>
      </c>
      <c r="F53" s="61" t="s">
        <v>154</v>
      </c>
      <c r="G53" s="61" t="s">
        <v>563</v>
      </c>
      <c r="H53" s="57" t="s">
        <v>261</v>
      </c>
      <c r="I53" s="203">
        <v>44497</v>
      </c>
      <c r="J53" s="663">
        <v>2</v>
      </c>
      <c r="K53" s="663">
        <v>4</v>
      </c>
      <c r="L53" s="663">
        <v>6</v>
      </c>
      <c r="M53" s="64">
        <f t="shared" si="3"/>
        <v>4</v>
      </c>
      <c r="N53" s="341">
        <f t="shared" ref="N53:N54" si="14">$S$95+(2*$S$96)*M53</f>
        <v>102.3</v>
      </c>
      <c r="O53" s="275"/>
      <c r="P53" s="275"/>
      <c r="Q53" s="521"/>
      <c r="R53" s="112">
        <v>2</v>
      </c>
      <c r="S53" s="81">
        <f t="shared" si="1"/>
        <v>8</v>
      </c>
      <c r="T53" s="86">
        <f t="shared" si="2"/>
        <v>1</v>
      </c>
      <c r="U53" s="671">
        <f t="shared" si="6"/>
        <v>8</v>
      </c>
      <c r="V53" s="672"/>
      <c r="W53" s="90"/>
      <c r="X53" s="91"/>
      <c r="Y53" s="91"/>
      <c r="Z53" s="91"/>
      <c r="AA53" s="91"/>
      <c r="AB53" s="91"/>
      <c r="AC53" s="91"/>
      <c r="AD53" s="91"/>
      <c r="AE53" s="91"/>
      <c r="AF53" s="91"/>
      <c r="AG53" s="91">
        <v>8</v>
      </c>
      <c r="AH53" s="91"/>
      <c r="AI53" s="91"/>
      <c r="AJ53" s="91"/>
      <c r="AK53" s="91"/>
      <c r="AL53" s="91"/>
      <c r="AM53" s="92"/>
      <c r="AN53" s="68"/>
      <c r="AO53" s="68"/>
    </row>
    <row r="54" spans="1:41" ht="150" customHeight="1">
      <c r="A54" s="531"/>
      <c r="B54" s="510"/>
      <c r="C54" s="58" t="s">
        <v>567</v>
      </c>
      <c r="D54" s="58" t="s">
        <v>568</v>
      </c>
      <c r="E54" s="57" t="s">
        <v>569</v>
      </c>
      <c r="F54" s="61" t="s">
        <v>154</v>
      </c>
      <c r="G54" s="61" t="s">
        <v>563</v>
      </c>
      <c r="H54" s="57" t="s">
        <v>266</v>
      </c>
      <c r="I54" s="203">
        <v>44504</v>
      </c>
      <c r="J54" s="663">
        <v>4</v>
      </c>
      <c r="K54" s="663">
        <v>6</v>
      </c>
      <c r="L54" s="663">
        <v>8</v>
      </c>
      <c r="M54" s="64">
        <f t="shared" si="3"/>
        <v>6</v>
      </c>
      <c r="N54" s="341">
        <f t="shared" si="14"/>
        <v>144.1</v>
      </c>
      <c r="O54" s="275"/>
      <c r="P54" s="275"/>
      <c r="Q54" s="521"/>
      <c r="R54" s="112">
        <v>1</v>
      </c>
      <c r="S54" s="81">
        <f t="shared" si="1"/>
        <v>6</v>
      </c>
      <c r="T54" s="86">
        <f t="shared" si="2"/>
        <v>1</v>
      </c>
      <c r="U54" s="671">
        <f t="shared" si="6"/>
        <v>6</v>
      </c>
      <c r="V54" s="672"/>
      <c r="W54" s="90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>
        <v>6</v>
      </c>
      <c r="AI54" s="91"/>
      <c r="AJ54" s="91"/>
      <c r="AK54" s="91"/>
      <c r="AL54" s="91"/>
      <c r="AM54" s="92"/>
      <c r="AN54" s="68"/>
      <c r="AO54" s="68"/>
    </row>
    <row r="55" spans="1:41" ht="150" customHeight="1">
      <c r="A55" s="531"/>
      <c r="B55" s="509" t="s">
        <v>267</v>
      </c>
      <c r="C55" s="58" t="s">
        <v>570</v>
      </c>
      <c r="D55" s="58" t="s">
        <v>571</v>
      </c>
      <c r="E55" s="57" t="s">
        <v>572</v>
      </c>
      <c r="F55" s="61" t="s">
        <v>154</v>
      </c>
      <c r="G55" s="61" t="s">
        <v>8</v>
      </c>
      <c r="H55" s="57" t="s">
        <v>276</v>
      </c>
      <c r="I55" s="63">
        <v>44469</v>
      </c>
      <c r="J55" s="663">
        <v>2</v>
      </c>
      <c r="K55" s="663">
        <v>4</v>
      </c>
      <c r="L55" s="663">
        <v>6</v>
      </c>
      <c r="M55" s="64">
        <f t="shared" si="3"/>
        <v>4</v>
      </c>
      <c r="N55" s="341">
        <f>$S$95*M55</f>
        <v>74.8</v>
      </c>
      <c r="O55" s="275"/>
      <c r="P55" s="275"/>
      <c r="Q55" s="521"/>
      <c r="R55" s="112">
        <v>2</v>
      </c>
      <c r="S55" s="81">
        <f t="shared" si="1"/>
        <v>8</v>
      </c>
      <c r="T55" s="86">
        <f t="shared" si="2"/>
        <v>1</v>
      </c>
      <c r="U55" s="671">
        <f t="shared" si="6"/>
        <v>8</v>
      </c>
      <c r="V55" s="672"/>
      <c r="W55" s="90"/>
      <c r="X55" s="91"/>
      <c r="Y55" s="91"/>
      <c r="Z55" s="91"/>
      <c r="AA55" s="91"/>
      <c r="AB55" s="91"/>
      <c r="AC55" s="91">
        <v>8</v>
      </c>
      <c r="AD55" s="91"/>
      <c r="AE55" s="91"/>
      <c r="AF55" s="91"/>
      <c r="AG55" s="91"/>
      <c r="AH55" s="91"/>
      <c r="AI55" s="91"/>
      <c r="AJ55" s="91"/>
      <c r="AK55" s="91"/>
      <c r="AL55" s="91"/>
      <c r="AM55" s="92"/>
      <c r="AN55" s="68"/>
      <c r="AO55" s="68"/>
    </row>
    <row r="56" spans="1:41" ht="150" customHeight="1">
      <c r="A56" s="531"/>
      <c r="B56" s="513"/>
      <c r="C56" s="58" t="s">
        <v>573</v>
      </c>
      <c r="D56" s="58" t="s">
        <v>574</v>
      </c>
      <c r="E56" s="57" t="s">
        <v>575</v>
      </c>
      <c r="F56" s="61" t="s">
        <v>154</v>
      </c>
      <c r="G56" s="61" t="s">
        <v>8</v>
      </c>
      <c r="H56" s="57" t="s">
        <v>283</v>
      </c>
      <c r="I56" s="63">
        <v>44470</v>
      </c>
      <c r="J56" s="663">
        <v>1</v>
      </c>
      <c r="K56" s="663">
        <v>2</v>
      </c>
      <c r="L56" s="663">
        <v>6</v>
      </c>
      <c r="M56" s="64">
        <f t="shared" si="3"/>
        <v>2.5</v>
      </c>
      <c r="N56" s="341">
        <f t="shared" ref="N56:N60" si="15">$S$95*M56</f>
        <v>46.75</v>
      </c>
      <c r="O56" s="275"/>
      <c r="P56" s="275"/>
      <c r="Q56" s="521"/>
      <c r="R56" s="112">
        <v>2</v>
      </c>
      <c r="S56" s="81">
        <f t="shared" si="1"/>
        <v>5</v>
      </c>
      <c r="T56" s="86">
        <f t="shared" si="2"/>
        <v>1</v>
      </c>
      <c r="U56" s="671">
        <f t="shared" si="6"/>
        <v>5</v>
      </c>
      <c r="V56" s="672"/>
      <c r="W56" s="90"/>
      <c r="X56" s="91"/>
      <c r="Y56" s="91"/>
      <c r="Z56" s="91"/>
      <c r="AA56" s="91"/>
      <c r="AB56" s="91"/>
      <c r="AC56" s="91"/>
      <c r="AD56" s="91">
        <v>5</v>
      </c>
      <c r="AE56" s="91"/>
      <c r="AF56" s="91"/>
      <c r="AG56" s="91"/>
      <c r="AH56" s="91"/>
      <c r="AI56" s="91"/>
      <c r="AJ56" s="91"/>
      <c r="AK56" s="91"/>
      <c r="AL56" s="91"/>
      <c r="AM56" s="92"/>
      <c r="AN56" s="68"/>
      <c r="AO56" s="68"/>
    </row>
    <row r="57" spans="1:41" ht="150" customHeight="1">
      <c r="A57" s="531"/>
      <c r="B57" s="513"/>
      <c r="C57" s="58" t="s">
        <v>576</v>
      </c>
      <c r="D57" s="58" t="s">
        <v>577</v>
      </c>
      <c r="E57" s="57" t="s">
        <v>301</v>
      </c>
      <c r="F57" s="61" t="s">
        <v>154</v>
      </c>
      <c r="G57" s="61" t="s">
        <v>8</v>
      </c>
      <c r="H57" s="57" t="s">
        <v>288</v>
      </c>
      <c r="I57" s="63">
        <v>44470</v>
      </c>
      <c r="J57" s="663">
        <v>2</v>
      </c>
      <c r="K57" s="663">
        <v>3</v>
      </c>
      <c r="L57" s="663">
        <v>6</v>
      </c>
      <c r="M57" s="64">
        <f t="shared" si="3"/>
        <v>3.3333333333333335</v>
      </c>
      <c r="N57" s="341">
        <f t="shared" si="15"/>
        <v>62.333333333333336</v>
      </c>
      <c r="O57" s="275"/>
      <c r="P57" s="275"/>
      <c r="Q57" s="521"/>
      <c r="R57" s="112">
        <v>3</v>
      </c>
      <c r="S57" s="81">
        <f t="shared" si="1"/>
        <v>10</v>
      </c>
      <c r="T57" s="86">
        <f t="shared" si="2"/>
        <v>1</v>
      </c>
      <c r="U57" s="671">
        <f t="shared" si="6"/>
        <v>10</v>
      </c>
      <c r="V57" s="672"/>
      <c r="W57" s="90"/>
      <c r="X57" s="91"/>
      <c r="Y57" s="91"/>
      <c r="Z57" s="91"/>
      <c r="AA57" s="91"/>
      <c r="AB57" s="91"/>
      <c r="AC57" s="91"/>
      <c r="AD57" s="91">
        <v>10</v>
      </c>
      <c r="AE57" s="91"/>
      <c r="AF57" s="91"/>
      <c r="AG57" s="91"/>
      <c r="AH57" s="91"/>
      <c r="AI57" s="91"/>
      <c r="AJ57" s="91"/>
      <c r="AK57" s="91"/>
      <c r="AL57" s="91"/>
      <c r="AM57" s="92"/>
      <c r="AN57" s="68"/>
      <c r="AO57" s="68"/>
    </row>
    <row r="58" spans="1:41" ht="150" customHeight="1">
      <c r="A58" s="531"/>
      <c r="B58" s="509" t="s">
        <v>289</v>
      </c>
      <c r="C58" s="62" t="s">
        <v>578</v>
      </c>
      <c r="D58" s="62" t="s">
        <v>579</v>
      </c>
      <c r="E58" s="62" t="s">
        <v>293</v>
      </c>
      <c r="F58" s="61" t="s">
        <v>154</v>
      </c>
      <c r="G58" s="61" t="s">
        <v>8</v>
      </c>
      <c r="H58" s="62" t="s">
        <v>294</v>
      </c>
      <c r="I58" s="63">
        <v>44470</v>
      </c>
      <c r="J58" s="663">
        <v>2</v>
      </c>
      <c r="K58" s="668">
        <v>3</v>
      </c>
      <c r="L58" s="668">
        <v>6</v>
      </c>
      <c r="M58" s="64">
        <f t="shared" si="3"/>
        <v>3.3333333333333335</v>
      </c>
      <c r="N58" s="341">
        <f t="shared" si="15"/>
        <v>62.333333333333336</v>
      </c>
      <c r="O58" s="277"/>
      <c r="P58" s="277"/>
      <c r="Q58" s="521"/>
      <c r="R58" s="112">
        <v>3</v>
      </c>
      <c r="S58" s="81">
        <f t="shared" si="1"/>
        <v>10</v>
      </c>
      <c r="T58" s="86">
        <f t="shared" si="2"/>
        <v>1</v>
      </c>
      <c r="U58" s="671">
        <f t="shared" si="6"/>
        <v>10</v>
      </c>
      <c r="V58" s="672"/>
      <c r="W58" s="90"/>
      <c r="X58" s="91"/>
      <c r="Y58" s="91"/>
      <c r="Z58" s="91"/>
      <c r="AA58" s="91"/>
      <c r="AB58" s="91"/>
      <c r="AC58" s="91"/>
      <c r="AD58" s="91">
        <v>10</v>
      </c>
      <c r="AE58" s="91"/>
      <c r="AF58" s="91"/>
      <c r="AG58" s="91"/>
      <c r="AH58" s="91"/>
      <c r="AI58" s="91"/>
      <c r="AJ58" s="91"/>
      <c r="AK58" s="91"/>
      <c r="AL58" s="91"/>
      <c r="AM58" s="92"/>
      <c r="AN58" s="68"/>
      <c r="AO58" s="68"/>
    </row>
    <row r="59" spans="1:41" ht="150" customHeight="1">
      <c r="A59" s="531"/>
      <c r="B59" s="510"/>
      <c r="C59" s="62" t="s">
        <v>580</v>
      </c>
      <c r="D59" s="62" t="s">
        <v>581</v>
      </c>
      <c r="E59" s="62" t="s">
        <v>297</v>
      </c>
      <c r="F59" s="61" t="s">
        <v>154</v>
      </c>
      <c r="G59" s="61" t="s">
        <v>8</v>
      </c>
      <c r="H59" s="62" t="s">
        <v>298</v>
      </c>
      <c r="I59" s="63">
        <v>44470</v>
      </c>
      <c r="J59" s="663">
        <v>2</v>
      </c>
      <c r="K59" s="668">
        <v>4</v>
      </c>
      <c r="L59" s="668">
        <v>6</v>
      </c>
      <c r="M59" s="64">
        <f t="shared" si="3"/>
        <v>4</v>
      </c>
      <c r="N59" s="341">
        <f t="shared" si="15"/>
        <v>74.8</v>
      </c>
      <c r="O59" s="277"/>
      <c r="P59" s="277"/>
      <c r="Q59" s="521"/>
      <c r="R59" s="112">
        <v>2</v>
      </c>
      <c r="S59" s="81">
        <f t="shared" si="1"/>
        <v>8</v>
      </c>
      <c r="T59" s="86">
        <f t="shared" si="2"/>
        <v>1</v>
      </c>
      <c r="U59" s="671">
        <f t="shared" si="6"/>
        <v>8</v>
      </c>
      <c r="V59" s="672"/>
      <c r="W59" s="90"/>
      <c r="X59" s="91"/>
      <c r="Y59" s="91"/>
      <c r="Z59" s="91"/>
      <c r="AA59" s="91"/>
      <c r="AB59" s="91"/>
      <c r="AC59" s="91"/>
      <c r="AD59" s="91">
        <v>8</v>
      </c>
      <c r="AE59" s="91"/>
      <c r="AF59" s="91"/>
      <c r="AG59" s="91"/>
      <c r="AH59" s="91"/>
      <c r="AI59" s="91"/>
      <c r="AJ59" s="91"/>
      <c r="AK59" s="91"/>
      <c r="AL59" s="91"/>
      <c r="AM59" s="92"/>
      <c r="AN59" s="68"/>
      <c r="AO59" s="68"/>
    </row>
    <row r="60" spans="1:41" ht="150" customHeight="1">
      <c r="A60" s="532"/>
      <c r="B60" s="510"/>
      <c r="C60" s="62" t="s">
        <v>582</v>
      </c>
      <c r="D60" s="62" t="s">
        <v>583</v>
      </c>
      <c r="E60" s="62" t="s">
        <v>301</v>
      </c>
      <c r="F60" s="61" t="s">
        <v>154</v>
      </c>
      <c r="G60" s="61" t="s">
        <v>8</v>
      </c>
      <c r="H60" s="62" t="s">
        <v>302</v>
      </c>
      <c r="I60" s="63">
        <v>44470</v>
      </c>
      <c r="J60" s="663">
        <v>2</v>
      </c>
      <c r="K60" s="668">
        <v>3</v>
      </c>
      <c r="L60" s="668">
        <v>6</v>
      </c>
      <c r="M60" s="64">
        <f t="shared" si="3"/>
        <v>3.3333333333333335</v>
      </c>
      <c r="N60" s="341">
        <f t="shared" si="15"/>
        <v>62.333333333333336</v>
      </c>
      <c r="O60" s="277"/>
      <c r="P60" s="277"/>
      <c r="Q60" s="521"/>
      <c r="R60" s="112">
        <v>3</v>
      </c>
      <c r="S60" s="81">
        <f t="shared" si="1"/>
        <v>10</v>
      </c>
      <c r="T60" s="86">
        <f t="shared" si="2"/>
        <v>1</v>
      </c>
      <c r="U60" s="671">
        <f t="shared" si="6"/>
        <v>10</v>
      </c>
      <c r="V60" s="672"/>
      <c r="W60" s="90"/>
      <c r="X60" s="91"/>
      <c r="Y60" s="91"/>
      <c r="Z60" s="91"/>
      <c r="AA60" s="91"/>
      <c r="AB60" s="91"/>
      <c r="AC60" s="91"/>
      <c r="AD60" s="91">
        <v>10</v>
      </c>
      <c r="AE60" s="91"/>
      <c r="AF60" s="91"/>
      <c r="AG60" s="91"/>
      <c r="AH60" s="91"/>
      <c r="AI60" s="91"/>
      <c r="AJ60" s="91"/>
      <c r="AK60" s="91"/>
      <c r="AL60" s="91"/>
      <c r="AM60" s="92"/>
      <c r="AN60" s="68"/>
      <c r="AO60" s="68"/>
    </row>
    <row r="61" spans="1:41" ht="150" hidden="1" customHeight="1">
      <c r="A61" s="530" t="s">
        <v>303</v>
      </c>
      <c r="B61" s="509" t="s">
        <v>304</v>
      </c>
      <c r="C61" s="58" t="s">
        <v>307</v>
      </c>
      <c r="D61" s="62" t="s">
        <v>305</v>
      </c>
      <c r="E61" s="58" t="s">
        <v>306</v>
      </c>
      <c r="F61" s="61" t="s">
        <v>154</v>
      </c>
      <c r="G61" s="61" t="s">
        <v>308</v>
      </c>
      <c r="H61" s="61" t="s">
        <v>309</v>
      </c>
      <c r="I61" s="57"/>
      <c r="J61" s="663">
        <v>4</v>
      </c>
      <c r="K61" s="663">
        <v>6</v>
      </c>
      <c r="L61" s="663">
        <v>8</v>
      </c>
      <c r="M61" s="64">
        <f t="shared" si="3"/>
        <v>6</v>
      </c>
      <c r="N61" s="341"/>
      <c r="O61" s="275"/>
      <c r="P61" s="275"/>
      <c r="Q61" s="521"/>
      <c r="R61" s="112">
        <v>3</v>
      </c>
      <c r="S61" s="81">
        <f t="shared" si="1"/>
        <v>18</v>
      </c>
      <c r="T61" s="86">
        <f t="shared" si="2"/>
        <v>0</v>
      </c>
      <c r="U61" s="671">
        <f t="shared" si="6"/>
        <v>0</v>
      </c>
      <c r="V61" s="672"/>
      <c r="W61" s="90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2"/>
      <c r="AN61" s="68"/>
      <c r="AO61" s="68"/>
    </row>
    <row r="62" spans="1:41" ht="150" hidden="1" customHeight="1">
      <c r="A62" s="531"/>
      <c r="B62" s="510"/>
      <c r="C62" s="58" t="s">
        <v>312</v>
      </c>
      <c r="D62" s="62" t="s">
        <v>310</v>
      </c>
      <c r="E62" s="58" t="s">
        <v>311</v>
      </c>
      <c r="F62" s="61" t="s">
        <v>154</v>
      </c>
      <c r="G62" s="61" t="s">
        <v>308</v>
      </c>
      <c r="H62" s="61" t="s">
        <v>313</v>
      </c>
      <c r="I62" s="57"/>
      <c r="J62" s="663">
        <v>4</v>
      </c>
      <c r="K62" s="663"/>
      <c r="L62" s="663"/>
      <c r="M62" s="64">
        <f t="shared" si="3"/>
        <v>0.66666666666666663</v>
      </c>
      <c r="N62" s="341"/>
      <c r="O62" s="275"/>
      <c r="P62" s="275"/>
      <c r="Q62" s="521"/>
      <c r="R62" s="112">
        <v>1</v>
      </c>
      <c r="S62" s="81">
        <f t="shared" si="1"/>
        <v>0.7</v>
      </c>
      <c r="T62" s="86">
        <f t="shared" si="2"/>
        <v>0</v>
      </c>
      <c r="U62" s="671">
        <f t="shared" si="6"/>
        <v>0</v>
      </c>
      <c r="V62" s="672"/>
      <c r="W62" s="90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2"/>
      <c r="AN62" s="68"/>
      <c r="AO62" s="68"/>
    </row>
    <row r="63" spans="1:41" ht="150" hidden="1" customHeight="1">
      <c r="A63" s="531"/>
      <c r="B63" s="510"/>
      <c r="C63" s="58" t="s">
        <v>316</v>
      </c>
      <c r="D63" s="62" t="s">
        <v>314</v>
      </c>
      <c r="E63" s="57" t="s">
        <v>315</v>
      </c>
      <c r="F63" s="61" t="s">
        <v>154</v>
      </c>
      <c r="G63" s="61" t="s">
        <v>308</v>
      </c>
      <c r="H63" s="61" t="s">
        <v>317</v>
      </c>
      <c r="I63" s="57"/>
      <c r="J63" s="663">
        <v>4</v>
      </c>
      <c r="K63" s="663"/>
      <c r="L63" s="663"/>
      <c r="M63" s="64">
        <f t="shared" si="3"/>
        <v>0.66666666666666663</v>
      </c>
      <c r="N63" s="341"/>
      <c r="O63" s="275"/>
      <c r="P63" s="275"/>
      <c r="Q63" s="521"/>
      <c r="R63" s="112">
        <v>2</v>
      </c>
      <c r="S63" s="81">
        <f t="shared" si="1"/>
        <v>1.3</v>
      </c>
      <c r="T63" s="86">
        <f t="shared" si="2"/>
        <v>0</v>
      </c>
      <c r="U63" s="671">
        <f t="shared" si="6"/>
        <v>0</v>
      </c>
      <c r="V63" s="672"/>
      <c r="W63" s="90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2"/>
      <c r="AN63" s="68"/>
      <c r="AO63" s="68"/>
    </row>
    <row r="64" spans="1:41" ht="150" hidden="1" customHeight="1">
      <c r="A64" s="531"/>
      <c r="B64" s="510"/>
      <c r="C64" s="58" t="s">
        <v>320</v>
      </c>
      <c r="D64" s="62" t="s">
        <v>318</v>
      </c>
      <c r="E64" s="58" t="s">
        <v>319</v>
      </c>
      <c r="F64" s="61" t="s">
        <v>154</v>
      </c>
      <c r="G64" s="61" t="s">
        <v>308</v>
      </c>
      <c r="H64" s="61" t="s">
        <v>321</v>
      </c>
      <c r="I64" s="57"/>
      <c r="J64" s="663">
        <v>4</v>
      </c>
      <c r="K64" s="663"/>
      <c r="L64" s="663"/>
      <c r="M64" s="64">
        <f t="shared" si="3"/>
        <v>0.66666666666666663</v>
      </c>
      <c r="N64" s="341"/>
      <c r="O64" s="275"/>
      <c r="P64" s="275"/>
      <c r="Q64" s="521"/>
      <c r="R64" s="112">
        <v>2</v>
      </c>
      <c r="S64" s="81">
        <f t="shared" si="1"/>
        <v>1.3</v>
      </c>
      <c r="T64" s="86">
        <f t="shared" si="2"/>
        <v>0</v>
      </c>
      <c r="U64" s="671">
        <f t="shared" si="6"/>
        <v>0</v>
      </c>
      <c r="V64" s="672"/>
      <c r="W64" s="90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2"/>
      <c r="AN64" s="68"/>
      <c r="AO64" s="68"/>
    </row>
    <row r="65" spans="1:41" ht="150" customHeight="1">
      <c r="A65" s="531"/>
      <c r="B65" s="509" t="s">
        <v>322</v>
      </c>
      <c r="C65" s="58" t="s">
        <v>584</v>
      </c>
      <c r="D65" s="57" t="s">
        <v>323</v>
      </c>
      <c r="E65" s="57" t="s">
        <v>585</v>
      </c>
      <c r="F65" s="57" t="s">
        <v>154</v>
      </c>
      <c r="G65" s="61" t="s">
        <v>586</v>
      </c>
      <c r="H65" s="61" t="s">
        <v>328</v>
      </c>
      <c r="I65" s="63">
        <v>44462</v>
      </c>
      <c r="J65" s="663">
        <v>2</v>
      </c>
      <c r="K65" s="663">
        <v>3</v>
      </c>
      <c r="L65" s="663">
        <v>6</v>
      </c>
      <c r="M65" s="64">
        <f t="shared" si="3"/>
        <v>3.3333333333333335</v>
      </c>
      <c r="N65" s="341">
        <f>$S$95+($S$96*3)*M65</f>
        <v>123.2</v>
      </c>
      <c r="O65" s="275"/>
      <c r="P65" s="275"/>
      <c r="Q65" s="521"/>
      <c r="R65" s="112">
        <v>3</v>
      </c>
      <c r="S65" s="81">
        <f t="shared" si="1"/>
        <v>10</v>
      </c>
      <c r="T65" s="86">
        <f t="shared" si="2"/>
        <v>1</v>
      </c>
      <c r="U65" s="671">
        <f t="shared" si="6"/>
        <v>10</v>
      </c>
      <c r="V65" s="672"/>
      <c r="W65" s="90"/>
      <c r="X65" s="91"/>
      <c r="Y65" s="91"/>
      <c r="Z65" s="91"/>
      <c r="AA65" s="91"/>
      <c r="AB65" s="91">
        <v>10</v>
      </c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2"/>
      <c r="AN65" s="68"/>
      <c r="AO65" s="68"/>
    </row>
    <row r="66" spans="1:41" ht="150" customHeight="1">
      <c r="A66" s="531"/>
      <c r="B66" s="510"/>
      <c r="C66" s="58" t="s">
        <v>587</v>
      </c>
      <c r="D66" s="58" t="s">
        <v>588</v>
      </c>
      <c r="E66" s="58" t="s">
        <v>589</v>
      </c>
      <c r="F66" s="57" t="s">
        <v>154</v>
      </c>
      <c r="G66" s="61" t="s">
        <v>586</v>
      </c>
      <c r="H66" s="61" t="s">
        <v>334</v>
      </c>
      <c r="I66" s="203">
        <v>44474</v>
      </c>
      <c r="J66" s="663">
        <v>1</v>
      </c>
      <c r="K66" s="667">
        <v>3</v>
      </c>
      <c r="L66" s="667">
        <v>5</v>
      </c>
      <c r="M66" s="64">
        <f t="shared" si="3"/>
        <v>3</v>
      </c>
      <c r="N66" s="341">
        <f t="shared" ref="N66:N67" si="16">$S$95+($S$96*3)*M66</f>
        <v>112.75</v>
      </c>
      <c r="O66" s="278"/>
      <c r="P66" s="278"/>
      <c r="Q66" s="521"/>
      <c r="R66" s="112">
        <v>2</v>
      </c>
      <c r="S66" s="81">
        <f t="shared" si="1"/>
        <v>6</v>
      </c>
      <c r="T66" s="86">
        <f t="shared" si="2"/>
        <v>1</v>
      </c>
      <c r="U66" s="671">
        <f t="shared" si="6"/>
        <v>6</v>
      </c>
      <c r="V66" s="672"/>
      <c r="W66" s="90"/>
      <c r="X66" s="91"/>
      <c r="Y66" s="91"/>
      <c r="Z66" s="91"/>
      <c r="AA66" s="91"/>
      <c r="AB66" s="91"/>
      <c r="AC66" s="91"/>
      <c r="AD66" s="91">
        <v>3</v>
      </c>
      <c r="AE66" s="91">
        <v>3</v>
      </c>
      <c r="AF66" s="91"/>
      <c r="AG66" s="91"/>
      <c r="AH66" s="91"/>
      <c r="AI66" s="91"/>
      <c r="AJ66" s="91"/>
      <c r="AK66" s="91"/>
      <c r="AL66" s="91"/>
      <c r="AM66" s="92"/>
      <c r="AN66" s="68"/>
      <c r="AO66" s="68"/>
    </row>
    <row r="67" spans="1:41" ht="150" customHeight="1">
      <c r="A67" s="531"/>
      <c r="B67" s="510"/>
      <c r="C67" s="58" t="s">
        <v>337</v>
      </c>
      <c r="D67" s="200" t="s">
        <v>590</v>
      </c>
      <c r="E67" s="58" t="s">
        <v>591</v>
      </c>
      <c r="F67" s="57" t="s">
        <v>154</v>
      </c>
      <c r="G67" s="61" t="s">
        <v>533</v>
      </c>
      <c r="H67" s="61" t="s">
        <v>339</v>
      </c>
      <c r="I67" s="203">
        <v>44466</v>
      </c>
      <c r="J67" s="663">
        <v>4</v>
      </c>
      <c r="K67" s="667">
        <v>6</v>
      </c>
      <c r="L67" s="667">
        <v>8</v>
      </c>
      <c r="M67" s="64">
        <f t="shared" si="3"/>
        <v>6</v>
      </c>
      <c r="N67" s="341">
        <f t="shared" si="16"/>
        <v>206.79999999999998</v>
      </c>
      <c r="O67" s="278"/>
      <c r="P67" s="278"/>
      <c r="Q67" s="521"/>
      <c r="R67" s="112">
        <v>3</v>
      </c>
      <c r="S67" s="81">
        <f t="shared" si="1"/>
        <v>18</v>
      </c>
      <c r="T67" s="86">
        <f t="shared" si="2"/>
        <v>1</v>
      </c>
      <c r="U67" s="671">
        <f t="shared" si="6"/>
        <v>18</v>
      </c>
      <c r="V67" s="672"/>
      <c r="W67" s="90"/>
      <c r="X67" s="91"/>
      <c r="Y67" s="91"/>
      <c r="Z67" s="91"/>
      <c r="AA67" s="91"/>
      <c r="AB67" s="91"/>
      <c r="AC67" s="91">
        <v>18</v>
      </c>
      <c r="AD67" s="91"/>
      <c r="AE67" s="91"/>
      <c r="AF67" s="91"/>
      <c r="AG67" s="91"/>
      <c r="AH67" s="91"/>
      <c r="AI67" s="91"/>
      <c r="AJ67" s="91"/>
      <c r="AK67" s="91"/>
      <c r="AL67" s="91"/>
      <c r="AM67" s="92"/>
      <c r="AN67" s="68"/>
      <c r="AO67" s="68"/>
    </row>
    <row r="68" spans="1:41" ht="150" customHeight="1">
      <c r="A68" s="531"/>
      <c r="B68" s="510"/>
      <c r="C68" s="58" t="s">
        <v>592</v>
      </c>
      <c r="D68" s="58" t="s">
        <v>593</v>
      </c>
      <c r="E68" s="58" t="s">
        <v>594</v>
      </c>
      <c r="F68" s="57" t="s">
        <v>154</v>
      </c>
      <c r="G68" s="58" t="s">
        <v>526</v>
      </c>
      <c r="H68" s="61" t="s">
        <v>344</v>
      </c>
      <c r="I68" s="203">
        <v>44487</v>
      </c>
      <c r="J68" s="663">
        <v>4</v>
      </c>
      <c r="K68" s="667">
        <v>6</v>
      </c>
      <c r="L68" s="667">
        <v>8</v>
      </c>
      <c r="M68" s="64">
        <f t="shared" si="3"/>
        <v>6</v>
      </c>
      <c r="N68" s="341">
        <f>($S$95+$S$96)*M68</f>
        <v>174.89999999999998</v>
      </c>
      <c r="O68" s="278"/>
      <c r="P68" s="278"/>
      <c r="Q68" s="521"/>
      <c r="R68" s="112">
        <v>2</v>
      </c>
      <c r="S68" s="81">
        <f t="shared" si="1"/>
        <v>12</v>
      </c>
      <c r="T68" s="86">
        <f t="shared" si="2"/>
        <v>1</v>
      </c>
      <c r="U68" s="671">
        <f t="shared" si="6"/>
        <v>12</v>
      </c>
      <c r="V68" s="672"/>
      <c r="W68" s="90"/>
      <c r="X68" s="91"/>
      <c r="Y68" s="91"/>
      <c r="Z68" s="91"/>
      <c r="AA68" s="91"/>
      <c r="AB68" s="91"/>
      <c r="AC68" s="91"/>
      <c r="AD68" s="91"/>
      <c r="AE68" s="91"/>
      <c r="AF68" s="91"/>
      <c r="AG68" s="91">
        <v>12</v>
      </c>
      <c r="AH68" s="91"/>
      <c r="AI68" s="91"/>
      <c r="AJ68" s="91"/>
      <c r="AK68" s="91"/>
      <c r="AL68" s="91"/>
      <c r="AM68" s="92"/>
      <c r="AN68" s="68"/>
      <c r="AO68" s="68"/>
    </row>
    <row r="69" spans="1:41" ht="150" customHeight="1">
      <c r="A69" s="531"/>
      <c r="B69" s="510"/>
      <c r="C69" s="58" t="s">
        <v>595</v>
      </c>
      <c r="D69" s="57" t="s">
        <v>596</v>
      </c>
      <c r="E69" s="58" t="s">
        <v>597</v>
      </c>
      <c r="F69" s="57" t="s">
        <v>154</v>
      </c>
      <c r="G69" s="58" t="s">
        <v>526</v>
      </c>
      <c r="H69" s="61" t="s">
        <v>354</v>
      </c>
      <c r="I69" s="63">
        <v>44487</v>
      </c>
      <c r="J69" s="663">
        <v>4</v>
      </c>
      <c r="K69" s="663">
        <v>6</v>
      </c>
      <c r="L69" s="663">
        <v>8</v>
      </c>
      <c r="M69" s="64">
        <f t="shared" si="3"/>
        <v>6</v>
      </c>
      <c r="N69" s="341">
        <f>($S$95+$S$96)*M69</f>
        <v>174.89999999999998</v>
      </c>
      <c r="O69" s="275"/>
      <c r="P69" s="275"/>
      <c r="Q69" s="521"/>
      <c r="R69" s="112">
        <v>2</v>
      </c>
      <c r="S69" s="81">
        <f t="shared" si="1"/>
        <v>12</v>
      </c>
      <c r="T69" s="86">
        <f t="shared" si="2"/>
        <v>1</v>
      </c>
      <c r="U69" s="671">
        <f t="shared" si="6"/>
        <v>12</v>
      </c>
      <c r="V69" s="672"/>
      <c r="W69" s="90"/>
      <c r="X69" s="91"/>
      <c r="Y69" s="91"/>
      <c r="Z69" s="91"/>
      <c r="AA69" s="91"/>
      <c r="AB69" s="91"/>
      <c r="AC69" s="91"/>
      <c r="AD69" s="91"/>
      <c r="AE69" s="91"/>
      <c r="AF69" s="91">
        <v>12</v>
      </c>
      <c r="AG69" s="91"/>
      <c r="AH69" s="91"/>
      <c r="AI69" s="91"/>
      <c r="AJ69" s="91"/>
      <c r="AK69" s="91"/>
      <c r="AL69" s="91"/>
      <c r="AM69" s="92"/>
      <c r="AN69" s="68"/>
      <c r="AO69" s="68"/>
    </row>
    <row r="70" spans="1:41" ht="150" customHeight="1">
      <c r="A70" s="531"/>
      <c r="B70" s="510"/>
      <c r="C70" s="66" t="s">
        <v>598</v>
      </c>
      <c r="D70" s="66" t="s">
        <v>599</v>
      </c>
      <c r="E70" s="58" t="s">
        <v>356</v>
      </c>
      <c r="F70" s="57" t="s">
        <v>154</v>
      </c>
      <c r="G70" s="57" t="s">
        <v>98</v>
      </c>
      <c r="H70" s="57" t="s">
        <v>358</v>
      </c>
      <c r="I70" s="63">
        <v>44498</v>
      </c>
      <c r="J70" s="663">
        <v>4</v>
      </c>
      <c r="K70" s="663">
        <v>6</v>
      </c>
      <c r="L70" s="663">
        <v>8</v>
      </c>
      <c r="M70" s="64">
        <f t="shared" si="3"/>
        <v>6</v>
      </c>
      <c r="N70" s="341">
        <f>($S$95+$S$96)*M70</f>
        <v>174.89999999999998</v>
      </c>
      <c r="O70" s="275"/>
      <c r="P70" s="275"/>
      <c r="Q70" s="521"/>
      <c r="R70" s="112">
        <v>2</v>
      </c>
      <c r="S70" s="81">
        <f t="shared" si="1"/>
        <v>12</v>
      </c>
      <c r="T70" s="86">
        <f t="shared" si="2"/>
        <v>1</v>
      </c>
      <c r="U70" s="671">
        <f t="shared" si="6"/>
        <v>12</v>
      </c>
      <c r="V70" s="672"/>
      <c r="W70" s="90"/>
      <c r="X70" s="91"/>
      <c r="Y70" s="91"/>
      <c r="Z70" s="91"/>
      <c r="AA70" s="91"/>
      <c r="AB70" s="91"/>
      <c r="AC70" s="91"/>
      <c r="AD70" s="91"/>
      <c r="AE70" s="91"/>
      <c r="AF70" s="91"/>
      <c r="AG70" s="91">
        <v>12</v>
      </c>
      <c r="AH70" s="91"/>
      <c r="AI70" s="91"/>
      <c r="AJ70" s="91"/>
      <c r="AK70" s="91"/>
      <c r="AL70" s="91"/>
      <c r="AM70" s="92"/>
      <c r="AN70" s="68"/>
      <c r="AO70" s="68"/>
    </row>
    <row r="71" spans="1:41" ht="150" customHeight="1">
      <c r="A71" s="530" t="s">
        <v>359</v>
      </c>
      <c r="B71" s="509" t="s">
        <v>62</v>
      </c>
      <c r="C71" s="58" t="s">
        <v>362</v>
      </c>
      <c r="D71" s="57" t="s">
        <v>600</v>
      </c>
      <c r="E71" s="57" t="s">
        <v>601</v>
      </c>
      <c r="F71" s="57" t="s">
        <v>364</v>
      </c>
      <c r="G71" s="57" t="s">
        <v>326</v>
      </c>
      <c r="H71" s="61" t="s">
        <v>361</v>
      </c>
      <c r="I71" s="63">
        <v>44501</v>
      </c>
      <c r="J71" s="663">
        <v>2</v>
      </c>
      <c r="K71" s="663">
        <v>4</v>
      </c>
      <c r="L71" s="663">
        <v>6</v>
      </c>
      <c r="M71" s="64">
        <f t="shared" si="3"/>
        <v>4</v>
      </c>
      <c r="N71" s="341">
        <f>M71*$S$95</f>
        <v>74.8</v>
      </c>
      <c r="O71" s="275"/>
      <c r="P71" s="275"/>
      <c r="Q71" s="521"/>
      <c r="R71" s="112">
        <v>2</v>
      </c>
      <c r="S71" s="81">
        <f t="shared" si="1"/>
        <v>8</v>
      </c>
      <c r="T71" s="86">
        <f t="shared" si="2"/>
        <v>1</v>
      </c>
      <c r="U71" s="671">
        <f t="shared" si="6"/>
        <v>8</v>
      </c>
      <c r="V71" s="672"/>
      <c r="W71" s="90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>
        <v>8</v>
      </c>
      <c r="AI71" s="91"/>
      <c r="AJ71" s="91"/>
      <c r="AK71" s="91"/>
      <c r="AL71" s="91"/>
      <c r="AM71" s="92"/>
      <c r="AN71" s="68"/>
      <c r="AO71" s="68"/>
    </row>
    <row r="72" spans="1:41" ht="150" customHeight="1">
      <c r="A72" s="531"/>
      <c r="B72" s="510"/>
      <c r="C72" s="58" t="s">
        <v>367</v>
      </c>
      <c r="D72" s="57" t="s">
        <v>365</v>
      </c>
      <c r="E72" s="344" t="s">
        <v>368</v>
      </c>
      <c r="F72" s="57" t="s">
        <v>369</v>
      </c>
      <c r="G72" s="58" t="s">
        <v>8</v>
      </c>
      <c r="H72" s="61" t="s">
        <v>366</v>
      </c>
      <c r="I72" s="63">
        <v>44501</v>
      </c>
      <c r="J72" s="663">
        <v>2</v>
      </c>
      <c r="K72" s="663">
        <v>4</v>
      </c>
      <c r="L72" s="663">
        <v>6</v>
      </c>
      <c r="M72" s="64">
        <f t="shared" si="3"/>
        <v>4</v>
      </c>
      <c r="N72" s="341">
        <f t="shared" ref="N72:N73" si="17">M72*$S$95</f>
        <v>74.8</v>
      </c>
      <c r="O72" s="275"/>
      <c r="P72" s="275"/>
      <c r="Q72" s="521"/>
      <c r="R72" s="112">
        <v>2</v>
      </c>
      <c r="S72" s="81">
        <f t="shared" si="1"/>
        <v>8</v>
      </c>
      <c r="T72" s="86">
        <f t="shared" si="2"/>
        <v>1</v>
      </c>
      <c r="U72" s="671">
        <f t="shared" si="6"/>
        <v>8</v>
      </c>
      <c r="V72" s="672"/>
      <c r="W72" s="90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>
        <v>8</v>
      </c>
      <c r="AI72" s="91"/>
      <c r="AJ72" s="91"/>
      <c r="AK72" s="91"/>
      <c r="AL72" s="91"/>
      <c r="AM72" s="92"/>
      <c r="AN72" s="68"/>
      <c r="AO72" s="68"/>
    </row>
    <row r="73" spans="1:41" ht="150" customHeight="1">
      <c r="A73" s="531"/>
      <c r="B73" s="510"/>
      <c r="C73" s="58" t="s">
        <v>367</v>
      </c>
      <c r="D73" s="57" t="s">
        <v>373</v>
      </c>
      <c r="E73" s="58" t="s">
        <v>602</v>
      </c>
      <c r="F73" s="57" t="s">
        <v>376</v>
      </c>
      <c r="G73" s="58" t="s">
        <v>6</v>
      </c>
      <c r="H73" s="62" t="s">
        <v>374</v>
      </c>
      <c r="I73" s="63">
        <v>44501</v>
      </c>
      <c r="J73" s="663">
        <v>2</v>
      </c>
      <c r="K73" s="663">
        <v>4</v>
      </c>
      <c r="L73" s="663">
        <v>6</v>
      </c>
      <c r="M73" s="64">
        <f t="shared" si="3"/>
        <v>4</v>
      </c>
      <c r="N73" s="341">
        <f t="shared" si="17"/>
        <v>74.8</v>
      </c>
      <c r="O73" s="278"/>
      <c r="P73" s="278"/>
      <c r="Q73" s="521"/>
      <c r="R73" s="112">
        <v>2</v>
      </c>
      <c r="S73" s="81">
        <f t="shared" si="1"/>
        <v>8</v>
      </c>
      <c r="T73" s="86">
        <f t="shared" si="2"/>
        <v>1</v>
      </c>
      <c r="U73" s="671">
        <f t="shared" si="6"/>
        <v>8</v>
      </c>
      <c r="V73" s="672"/>
      <c r="W73" s="90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>
        <v>5</v>
      </c>
      <c r="AI73" s="91">
        <v>3</v>
      </c>
      <c r="AJ73" s="91"/>
      <c r="AK73" s="91"/>
      <c r="AL73" s="91"/>
      <c r="AM73" s="92"/>
      <c r="AN73" s="68"/>
      <c r="AO73" s="68"/>
    </row>
    <row r="74" spans="1:41" ht="150" customHeight="1">
      <c r="A74" s="531"/>
      <c r="B74" s="510"/>
      <c r="C74" s="58" t="s">
        <v>367</v>
      </c>
      <c r="D74" s="57" t="s">
        <v>377</v>
      </c>
      <c r="E74" s="57" t="s">
        <v>603</v>
      </c>
      <c r="F74" s="57" t="s">
        <v>369</v>
      </c>
      <c r="G74" s="58" t="s">
        <v>555</v>
      </c>
      <c r="H74" s="61" t="s">
        <v>380</v>
      </c>
      <c r="I74" s="63">
        <v>44501</v>
      </c>
      <c r="J74" s="663">
        <v>2</v>
      </c>
      <c r="K74" s="663">
        <v>4</v>
      </c>
      <c r="L74" s="663">
        <v>6</v>
      </c>
      <c r="M74" s="64">
        <f t="shared" si="3"/>
        <v>4</v>
      </c>
      <c r="N74" s="341">
        <f>($S$95+$S$96)*M74</f>
        <v>116.6</v>
      </c>
      <c r="O74" s="275"/>
      <c r="P74" s="275"/>
      <c r="Q74" s="521"/>
      <c r="R74" s="112">
        <v>2</v>
      </c>
      <c r="S74" s="81">
        <f t="shared" si="1"/>
        <v>8</v>
      </c>
      <c r="T74" s="86">
        <f t="shared" si="2"/>
        <v>1</v>
      </c>
      <c r="U74" s="671">
        <f t="shared" si="6"/>
        <v>8</v>
      </c>
      <c r="V74" s="672"/>
      <c r="W74" s="90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>
        <v>8</v>
      </c>
      <c r="AI74" s="91"/>
      <c r="AJ74" s="91"/>
      <c r="AK74" s="91"/>
      <c r="AL74" s="91"/>
      <c r="AM74" s="92"/>
      <c r="AN74" s="68"/>
      <c r="AO74" s="68"/>
    </row>
    <row r="75" spans="1:41" ht="150" customHeight="1">
      <c r="A75" s="531"/>
      <c r="B75" s="510"/>
      <c r="C75" s="58" t="s">
        <v>367</v>
      </c>
      <c r="D75" s="57" t="s">
        <v>388</v>
      </c>
      <c r="E75" s="67" t="s">
        <v>389</v>
      </c>
      <c r="F75" s="57" t="s">
        <v>369</v>
      </c>
      <c r="G75" s="57" t="s">
        <v>353</v>
      </c>
      <c r="H75" s="61" t="s">
        <v>390</v>
      </c>
      <c r="I75" s="63">
        <v>44501</v>
      </c>
      <c r="J75" s="663">
        <v>2</v>
      </c>
      <c r="K75" s="663">
        <v>4</v>
      </c>
      <c r="L75" s="663">
        <v>6</v>
      </c>
      <c r="M75" s="64">
        <f t="shared" si="3"/>
        <v>4</v>
      </c>
      <c r="N75" s="341">
        <f>($S$95+$S$96)*M75</f>
        <v>116.6</v>
      </c>
      <c r="O75" s="275"/>
      <c r="P75" s="275"/>
      <c r="Q75" s="521"/>
      <c r="R75" s="112">
        <v>3</v>
      </c>
      <c r="S75" s="81">
        <f t="shared" si="1"/>
        <v>12</v>
      </c>
      <c r="T75" s="86">
        <f t="shared" si="2"/>
        <v>1</v>
      </c>
      <c r="U75" s="671">
        <f t="shared" si="6"/>
        <v>12</v>
      </c>
      <c r="V75" s="672"/>
      <c r="W75" s="90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>
        <v>12</v>
      </c>
      <c r="AI75" s="91"/>
      <c r="AJ75" s="91"/>
      <c r="AK75" s="91"/>
      <c r="AL75" s="91"/>
      <c r="AM75" s="92"/>
      <c r="AN75" s="68"/>
      <c r="AO75" s="68"/>
    </row>
    <row r="76" spans="1:41" ht="150" customHeight="1">
      <c r="A76" s="531"/>
      <c r="B76" s="512" t="s">
        <v>391</v>
      </c>
      <c r="C76" s="58" t="s">
        <v>604</v>
      </c>
      <c r="D76" s="58" t="s">
        <v>395</v>
      </c>
      <c r="E76" s="58" t="s">
        <v>393</v>
      </c>
      <c r="F76" s="57" t="s">
        <v>369</v>
      </c>
      <c r="G76" s="58" t="s">
        <v>27</v>
      </c>
      <c r="H76" s="61" t="s">
        <v>396</v>
      </c>
      <c r="I76" s="203">
        <v>44516</v>
      </c>
      <c r="J76" s="663">
        <v>4</v>
      </c>
      <c r="K76" s="667">
        <v>6</v>
      </c>
      <c r="L76" s="667">
        <v>8</v>
      </c>
      <c r="M76" s="64">
        <f t="shared" si="3"/>
        <v>6</v>
      </c>
      <c r="N76" s="341">
        <f>SUM($S$93:$S$96)*M76</f>
        <v>606.90000000000009</v>
      </c>
      <c r="O76" s="275"/>
      <c r="P76" s="275"/>
      <c r="Q76" s="521"/>
      <c r="R76" s="112">
        <v>3</v>
      </c>
      <c r="S76" s="81">
        <f t="shared" si="1"/>
        <v>18</v>
      </c>
      <c r="T76" s="86">
        <f t="shared" si="2"/>
        <v>1</v>
      </c>
      <c r="U76" s="671">
        <f t="shared" si="6"/>
        <v>18</v>
      </c>
      <c r="V76" s="672"/>
      <c r="W76" s="90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>
        <v>18</v>
      </c>
      <c r="AJ76" s="91"/>
      <c r="AK76" s="91"/>
      <c r="AL76" s="91"/>
      <c r="AM76" s="92"/>
      <c r="AN76" s="68"/>
      <c r="AO76" s="68"/>
    </row>
    <row r="77" spans="1:41" ht="150" customHeight="1">
      <c r="A77" s="531"/>
      <c r="B77" s="513"/>
      <c r="C77" s="58" t="s">
        <v>394</v>
      </c>
      <c r="D77" s="58" t="s">
        <v>605</v>
      </c>
      <c r="E77" s="58" t="s">
        <v>399</v>
      </c>
      <c r="F77" s="57" t="s">
        <v>376</v>
      </c>
      <c r="G77" s="58" t="s">
        <v>98</v>
      </c>
      <c r="H77" s="61" t="s">
        <v>400</v>
      </c>
      <c r="I77" s="203">
        <v>44503</v>
      </c>
      <c r="J77" s="663">
        <v>4</v>
      </c>
      <c r="K77" s="667">
        <v>6</v>
      </c>
      <c r="L77" s="667">
        <v>8</v>
      </c>
      <c r="M77" s="64">
        <f t="shared" ref="M77:M87" si="18">(J77+(4*K77)+L77)/6</f>
        <v>6</v>
      </c>
      <c r="N77" s="341">
        <f>($S$95+$S$96)*M77</f>
        <v>174.89999999999998</v>
      </c>
      <c r="O77" s="275"/>
      <c r="P77" s="275"/>
      <c r="Q77" s="521"/>
      <c r="R77" s="112">
        <v>3</v>
      </c>
      <c r="S77" s="81">
        <f t="shared" si="1"/>
        <v>18</v>
      </c>
      <c r="T77" s="86">
        <f t="shared" ref="T77:T87" si="19">U77/S77</f>
        <v>1</v>
      </c>
      <c r="U77" s="671">
        <f t="shared" si="6"/>
        <v>18</v>
      </c>
      <c r="V77" s="672"/>
      <c r="W77" s="90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>
        <v>18</v>
      </c>
      <c r="AI77" s="91"/>
      <c r="AJ77" s="91"/>
      <c r="AK77" s="91"/>
      <c r="AL77" s="91"/>
      <c r="AM77" s="92"/>
      <c r="AN77" s="68"/>
      <c r="AO77" s="68"/>
    </row>
    <row r="78" spans="1:41" ht="150" customHeight="1">
      <c r="A78" s="531"/>
      <c r="B78" s="513"/>
      <c r="C78" s="58" t="s">
        <v>403</v>
      </c>
      <c r="D78" s="58" t="s">
        <v>606</v>
      </c>
      <c r="E78" s="58" t="s">
        <v>402</v>
      </c>
      <c r="F78" s="57" t="s">
        <v>376</v>
      </c>
      <c r="G78" s="58" t="s">
        <v>98</v>
      </c>
      <c r="H78" s="61" t="s">
        <v>404</v>
      </c>
      <c r="I78" s="203">
        <v>44518</v>
      </c>
      <c r="J78" s="663">
        <v>4</v>
      </c>
      <c r="K78" s="667">
        <v>6</v>
      </c>
      <c r="L78" s="667">
        <v>8</v>
      </c>
      <c r="M78" s="64">
        <f t="shared" si="18"/>
        <v>6</v>
      </c>
      <c r="N78" s="341">
        <f>($S$95+$S$96)*M78</f>
        <v>174.89999999999998</v>
      </c>
      <c r="O78" s="275"/>
      <c r="P78" s="275"/>
      <c r="Q78" s="521"/>
      <c r="R78" s="112">
        <v>3</v>
      </c>
      <c r="S78" s="81">
        <f t="shared" si="1"/>
        <v>18</v>
      </c>
      <c r="T78" s="86">
        <f t="shared" si="19"/>
        <v>1</v>
      </c>
      <c r="U78" s="671">
        <f t="shared" si="6"/>
        <v>18</v>
      </c>
      <c r="V78" s="672"/>
      <c r="W78" s="90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>
        <v>18</v>
      </c>
      <c r="AK78" s="91"/>
      <c r="AL78" s="91"/>
      <c r="AM78" s="92"/>
      <c r="AN78" s="68"/>
      <c r="AO78" s="68"/>
    </row>
    <row r="79" spans="1:41" ht="150" customHeight="1">
      <c r="A79" s="532"/>
      <c r="B79" s="514"/>
      <c r="C79" s="58" t="s">
        <v>607</v>
      </c>
      <c r="D79" s="58" t="s">
        <v>408</v>
      </c>
      <c r="E79" s="57" t="s">
        <v>608</v>
      </c>
      <c r="F79" s="57" t="s">
        <v>369</v>
      </c>
      <c r="G79" s="57" t="s">
        <v>27</v>
      </c>
      <c r="H79" s="57" t="s">
        <v>410</v>
      </c>
      <c r="I79" s="203">
        <v>44518</v>
      </c>
      <c r="J79" s="663">
        <v>4</v>
      </c>
      <c r="K79" s="667">
        <v>6</v>
      </c>
      <c r="L79" s="667">
        <v>8</v>
      </c>
      <c r="M79" s="64">
        <f t="shared" si="18"/>
        <v>6</v>
      </c>
      <c r="N79" s="341">
        <f>SUM($S$93:$S$96)*M79</f>
        <v>606.90000000000009</v>
      </c>
      <c r="O79" s="275"/>
      <c r="P79" s="275"/>
      <c r="Q79" s="521"/>
      <c r="R79" s="112">
        <v>3</v>
      </c>
      <c r="S79" s="81">
        <f t="shared" si="1"/>
        <v>18</v>
      </c>
      <c r="T79" s="86">
        <f t="shared" si="19"/>
        <v>1</v>
      </c>
      <c r="U79" s="671">
        <f t="shared" ref="U79:U87" si="20">SUM(W79:AO79)</f>
        <v>18</v>
      </c>
      <c r="V79" s="672"/>
      <c r="W79" s="90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>
        <v>18</v>
      </c>
      <c r="AK79" s="91"/>
      <c r="AL79" s="91"/>
      <c r="AM79" s="92"/>
      <c r="AN79" s="68"/>
      <c r="AO79" s="68"/>
    </row>
    <row r="80" spans="1:41" ht="150" customHeight="1">
      <c r="A80" s="530" t="s">
        <v>411</v>
      </c>
      <c r="B80" s="509" t="s">
        <v>412</v>
      </c>
      <c r="C80" s="58" t="s">
        <v>604</v>
      </c>
      <c r="D80" s="57" t="s">
        <v>609</v>
      </c>
      <c r="E80" s="57" t="s">
        <v>610</v>
      </c>
      <c r="F80" s="57" t="s">
        <v>369</v>
      </c>
      <c r="G80" s="57" t="s">
        <v>151</v>
      </c>
      <c r="H80" s="57" t="s">
        <v>416</v>
      </c>
      <c r="I80" s="63">
        <v>44516</v>
      </c>
      <c r="J80" s="663">
        <v>4</v>
      </c>
      <c r="K80" s="663">
        <v>6</v>
      </c>
      <c r="L80" s="663">
        <v>9</v>
      </c>
      <c r="M80" s="64">
        <f t="shared" si="18"/>
        <v>6.166666666666667</v>
      </c>
      <c r="N80" s="341">
        <f t="shared" ref="N80:N82" si="21">SUM($S$93:$S$96)*M80</f>
        <v>623.75833333333344</v>
      </c>
      <c r="O80" s="275"/>
      <c r="P80" s="275"/>
      <c r="Q80" s="521"/>
      <c r="R80" s="112">
        <v>3</v>
      </c>
      <c r="S80" s="81">
        <f t="shared" si="1"/>
        <v>18.5</v>
      </c>
      <c r="T80" s="86">
        <f t="shared" si="19"/>
        <v>1.027027027027027</v>
      </c>
      <c r="U80" s="671">
        <f t="shared" si="20"/>
        <v>19</v>
      </c>
      <c r="V80" s="672"/>
      <c r="W80" s="90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>
        <v>19</v>
      </c>
      <c r="AJ80" s="91"/>
      <c r="AK80" s="91"/>
      <c r="AL80" s="91"/>
      <c r="AM80" s="92"/>
      <c r="AN80" s="68"/>
      <c r="AO80" s="68"/>
    </row>
    <row r="81" spans="1:41" ht="150" customHeight="1">
      <c r="A81" s="531"/>
      <c r="B81" s="510"/>
      <c r="C81" s="58" t="s">
        <v>611</v>
      </c>
      <c r="D81" s="57" t="s">
        <v>612</v>
      </c>
      <c r="E81" s="57" t="s">
        <v>613</v>
      </c>
      <c r="F81" s="57" t="s">
        <v>376</v>
      </c>
      <c r="G81" s="57" t="s">
        <v>151</v>
      </c>
      <c r="H81" s="57" t="s">
        <v>421</v>
      </c>
      <c r="I81" s="63">
        <v>44523</v>
      </c>
      <c r="J81" s="663">
        <v>4</v>
      </c>
      <c r="K81" s="663">
        <v>6</v>
      </c>
      <c r="L81" s="663">
        <v>8</v>
      </c>
      <c r="M81" s="64">
        <f t="shared" si="18"/>
        <v>6</v>
      </c>
      <c r="N81" s="341">
        <f t="shared" si="21"/>
        <v>606.90000000000009</v>
      </c>
      <c r="O81" s="275"/>
      <c r="P81" s="275"/>
      <c r="Q81" s="521"/>
      <c r="R81" s="112">
        <v>3</v>
      </c>
      <c r="S81" s="81">
        <f t="shared" ref="S81:S87" si="22">ROUND((M81*R81),1)</f>
        <v>18</v>
      </c>
      <c r="T81" s="86">
        <f t="shared" si="19"/>
        <v>1</v>
      </c>
      <c r="U81" s="671">
        <f t="shared" si="20"/>
        <v>18</v>
      </c>
      <c r="V81" s="672"/>
      <c r="W81" s="90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>
        <v>18</v>
      </c>
      <c r="AL81" s="91"/>
      <c r="AM81" s="92"/>
      <c r="AN81" s="68"/>
      <c r="AO81" s="68"/>
    </row>
    <row r="82" spans="1:41" ht="150" customHeight="1">
      <c r="A82" s="531"/>
      <c r="B82" s="510"/>
      <c r="C82" s="58" t="s">
        <v>614</v>
      </c>
      <c r="D82" s="57" t="s">
        <v>615</v>
      </c>
      <c r="E82" s="57" t="s">
        <v>616</v>
      </c>
      <c r="F82" s="57" t="s">
        <v>426</v>
      </c>
      <c r="G82" s="57" t="s">
        <v>151</v>
      </c>
      <c r="H82" s="57" t="s">
        <v>427</v>
      </c>
      <c r="I82" s="63">
        <v>44524</v>
      </c>
      <c r="J82" s="663">
        <v>4</v>
      </c>
      <c r="K82" s="663">
        <v>6</v>
      </c>
      <c r="L82" s="663">
        <v>8</v>
      </c>
      <c r="M82" s="64">
        <f t="shared" si="18"/>
        <v>6</v>
      </c>
      <c r="N82" s="341">
        <f>SUM($S$93:$S$96)*M82</f>
        <v>606.90000000000009</v>
      </c>
      <c r="O82" s="275"/>
      <c r="P82" s="275"/>
      <c r="Q82" s="521"/>
      <c r="R82" s="112">
        <v>3</v>
      </c>
      <c r="S82" s="81">
        <f t="shared" si="22"/>
        <v>18</v>
      </c>
      <c r="T82" s="86">
        <f t="shared" si="19"/>
        <v>1</v>
      </c>
      <c r="U82" s="671">
        <f t="shared" si="20"/>
        <v>18</v>
      </c>
      <c r="V82" s="672"/>
      <c r="W82" s="90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>
        <v>18</v>
      </c>
      <c r="AL82" s="91"/>
      <c r="AM82" s="92"/>
      <c r="AN82" s="68"/>
      <c r="AO82" s="68"/>
    </row>
    <row r="83" spans="1:41" ht="150" customHeight="1">
      <c r="A83" s="531"/>
      <c r="B83" s="511"/>
      <c r="C83" s="58" t="s">
        <v>617</v>
      </c>
      <c r="D83" s="57" t="s">
        <v>429</v>
      </c>
      <c r="E83" s="57" t="s">
        <v>618</v>
      </c>
      <c r="F83" s="57" t="s">
        <v>432</v>
      </c>
      <c r="G83" s="57" t="s">
        <v>619</v>
      </c>
      <c r="H83" s="57" t="s">
        <v>433</v>
      </c>
      <c r="I83" s="63">
        <v>44525</v>
      </c>
      <c r="J83" s="663">
        <v>4</v>
      </c>
      <c r="K83" s="663">
        <v>6</v>
      </c>
      <c r="L83" s="663">
        <v>8</v>
      </c>
      <c r="M83" s="64">
        <f t="shared" si="18"/>
        <v>6</v>
      </c>
      <c r="N83" s="341">
        <f>$S$95*M83</f>
        <v>112.19999999999999</v>
      </c>
      <c r="O83" s="275"/>
      <c r="P83" s="275"/>
      <c r="Q83" s="521"/>
      <c r="R83" s="112">
        <v>3</v>
      </c>
      <c r="S83" s="81">
        <f t="shared" si="22"/>
        <v>18</v>
      </c>
      <c r="T83" s="86">
        <f t="shared" si="19"/>
        <v>1</v>
      </c>
      <c r="U83" s="671">
        <f t="shared" si="20"/>
        <v>18</v>
      </c>
      <c r="V83" s="672"/>
      <c r="W83" s="90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>
        <v>10</v>
      </c>
      <c r="AL83" s="91">
        <v>8</v>
      </c>
      <c r="AM83" s="92"/>
      <c r="AN83" s="68"/>
      <c r="AO83" s="68"/>
    </row>
    <row r="84" spans="1:41" ht="150" customHeight="1">
      <c r="A84" s="531"/>
      <c r="B84" s="512" t="s">
        <v>434</v>
      </c>
      <c r="C84" s="58" t="s">
        <v>437</v>
      </c>
      <c r="D84" s="57" t="s">
        <v>436</v>
      </c>
      <c r="E84" s="57" t="s">
        <v>620</v>
      </c>
      <c r="F84" s="57" t="s">
        <v>432</v>
      </c>
      <c r="G84" s="57" t="s">
        <v>8</v>
      </c>
      <c r="H84" s="57" t="s">
        <v>439</v>
      </c>
      <c r="I84" s="63">
        <v>44477</v>
      </c>
      <c r="J84" s="663">
        <v>8</v>
      </c>
      <c r="K84" s="663">
        <v>10</v>
      </c>
      <c r="L84" s="663">
        <v>16</v>
      </c>
      <c r="M84" s="64">
        <f t="shared" si="18"/>
        <v>10.666666666666666</v>
      </c>
      <c r="N84" s="341">
        <f>$S$95*M84</f>
        <v>199.46666666666664</v>
      </c>
      <c r="O84" s="275"/>
      <c r="P84" s="275"/>
      <c r="Q84" s="521"/>
      <c r="R84" s="112">
        <v>3</v>
      </c>
      <c r="S84" s="81">
        <f t="shared" si="22"/>
        <v>32</v>
      </c>
      <c r="T84" s="86">
        <f t="shared" si="19"/>
        <v>1</v>
      </c>
      <c r="U84" s="671">
        <f>SUM(W84:AO84)</f>
        <v>32</v>
      </c>
      <c r="V84" s="672"/>
      <c r="W84" s="90"/>
      <c r="X84" s="91"/>
      <c r="Y84" s="91"/>
      <c r="Z84" s="91"/>
      <c r="AA84" s="91"/>
      <c r="AB84" s="91"/>
      <c r="AC84" s="91"/>
      <c r="AD84" s="91"/>
      <c r="AE84" s="91">
        <v>32</v>
      </c>
      <c r="AF84" s="91"/>
      <c r="AG84" s="91"/>
      <c r="AH84" s="91"/>
      <c r="AI84" s="91"/>
      <c r="AJ84" s="91"/>
      <c r="AK84" s="91"/>
      <c r="AL84" s="91"/>
      <c r="AM84" s="92"/>
      <c r="AN84" s="68"/>
      <c r="AO84" s="68"/>
    </row>
    <row r="85" spans="1:41" ht="150" customHeight="1">
      <c r="A85" s="531"/>
      <c r="B85" s="513"/>
      <c r="C85" s="58" t="s">
        <v>621</v>
      </c>
      <c r="D85" s="57" t="s">
        <v>622</v>
      </c>
      <c r="E85" s="57" t="s">
        <v>620</v>
      </c>
      <c r="F85" s="57" t="s">
        <v>443</v>
      </c>
      <c r="G85" s="57" t="s">
        <v>151</v>
      </c>
      <c r="H85" s="57" t="s">
        <v>444</v>
      </c>
      <c r="I85" s="63">
        <v>44523</v>
      </c>
      <c r="J85" s="663">
        <v>10</v>
      </c>
      <c r="K85" s="663">
        <v>11</v>
      </c>
      <c r="L85" s="663">
        <v>12</v>
      </c>
      <c r="M85" s="64">
        <v>15</v>
      </c>
      <c r="N85" s="341">
        <f>SUM($S$93:$S$96)*M85</f>
        <v>1517.25</v>
      </c>
      <c r="O85" s="275"/>
      <c r="P85" s="275"/>
      <c r="Q85" s="521"/>
      <c r="R85" s="112">
        <v>3</v>
      </c>
      <c r="S85" s="81">
        <f t="shared" si="22"/>
        <v>45</v>
      </c>
      <c r="T85" s="86">
        <f t="shared" si="19"/>
        <v>1</v>
      </c>
      <c r="U85" s="671">
        <f>SUM(W85:AO85)</f>
        <v>45</v>
      </c>
      <c r="V85" s="672"/>
      <c r="W85" s="90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>
        <v>45</v>
      </c>
      <c r="AM85" s="92"/>
      <c r="AN85" s="68"/>
      <c r="AO85" s="68"/>
    </row>
    <row r="86" spans="1:41" ht="150" customHeight="1">
      <c r="A86" s="531"/>
      <c r="B86" s="513"/>
      <c r="C86" s="58" t="s">
        <v>623</v>
      </c>
      <c r="D86" s="57" t="s">
        <v>624</v>
      </c>
      <c r="E86" s="58" t="s">
        <v>447</v>
      </c>
      <c r="F86" s="57" t="s">
        <v>443</v>
      </c>
      <c r="G86" s="57" t="s">
        <v>151</v>
      </c>
      <c r="H86" s="57" t="s">
        <v>448</v>
      </c>
      <c r="I86" s="63">
        <v>44524</v>
      </c>
      <c r="J86" s="663">
        <v>8</v>
      </c>
      <c r="K86" s="663">
        <v>10</v>
      </c>
      <c r="L86" s="663">
        <v>12</v>
      </c>
      <c r="M86" s="64">
        <f t="shared" si="18"/>
        <v>10</v>
      </c>
      <c r="N86" s="341">
        <f t="shared" ref="N86:N87" si="23">SUM($S$93:$S$96)*M86</f>
        <v>1011.5</v>
      </c>
      <c r="O86" s="275"/>
      <c r="P86" s="275"/>
      <c r="Q86" s="521"/>
      <c r="R86" s="112">
        <v>3</v>
      </c>
      <c r="S86" s="81">
        <f t="shared" si="22"/>
        <v>30</v>
      </c>
      <c r="T86" s="86">
        <f t="shared" si="19"/>
        <v>1</v>
      </c>
      <c r="U86" s="671">
        <f>SUM(W86:AO86)</f>
        <v>30</v>
      </c>
      <c r="V86" s="672"/>
      <c r="W86" s="90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>
        <v>30</v>
      </c>
      <c r="AM86" s="92"/>
      <c r="AN86" s="68"/>
      <c r="AO86" s="68"/>
    </row>
    <row r="87" spans="1:41" ht="150" customHeight="1">
      <c r="A87" s="531"/>
      <c r="B87" s="513"/>
      <c r="C87" s="113" t="s">
        <v>625</v>
      </c>
      <c r="D87" s="56" t="s">
        <v>450</v>
      </c>
      <c r="E87" s="56" t="s">
        <v>626</v>
      </c>
      <c r="F87" s="56" t="s">
        <v>443</v>
      </c>
      <c r="G87" s="56" t="s">
        <v>151</v>
      </c>
      <c r="H87" s="56" t="s">
        <v>453</v>
      </c>
      <c r="I87" s="126">
        <v>44531</v>
      </c>
      <c r="J87" s="663">
        <v>1</v>
      </c>
      <c r="K87" s="669">
        <v>2</v>
      </c>
      <c r="L87" s="669">
        <v>3</v>
      </c>
      <c r="M87" s="71">
        <f>(J87+(4*K87)+L87)/6</f>
        <v>2</v>
      </c>
      <c r="N87" s="341">
        <f t="shared" si="23"/>
        <v>202.3</v>
      </c>
      <c r="O87" s="275"/>
      <c r="P87" s="275"/>
      <c r="Q87" s="521"/>
      <c r="R87" s="112">
        <v>3</v>
      </c>
      <c r="S87" s="81">
        <f t="shared" si="22"/>
        <v>6</v>
      </c>
      <c r="T87" s="93">
        <f t="shared" si="19"/>
        <v>5.5</v>
      </c>
      <c r="U87" s="671">
        <f>SUM(W87:AO87)</f>
        <v>33</v>
      </c>
      <c r="V87" s="672"/>
      <c r="W87" s="87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9">
        <v>33</v>
      </c>
      <c r="AN87" s="68"/>
      <c r="AO87" s="68"/>
    </row>
    <row r="88" spans="1:41" ht="60" customHeight="1">
      <c r="A88" s="94"/>
      <c r="B88" s="95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342">
        <f>SUM(N16:N87)</f>
        <v>17925.499999999993</v>
      </c>
      <c r="O88" s="68"/>
      <c r="P88" s="68"/>
      <c r="Q88" s="521"/>
      <c r="R88" s="69" t="s">
        <v>627</v>
      </c>
      <c r="S88" s="97">
        <f>SUM(S16:S87)</f>
        <v>809.8</v>
      </c>
      <c r="T88" s="98"/>
      <c r="U88" s="99"/>
      <c r="V88" s="129" t="s">
        <v>628</v>
      </c>
      <c r="W88" s="128">
        <f>S88-SUM(W16:W87)</f>
        <v>767.8</v>
      </c>
      <c r="X88" s="100">
        <f>W88-SUM(X16:X87)</f>
        <v>752.8</v>
      </c>
      <c r="Y88" s="100">
        <f>X88-SUM(Y16:Y87)</f>
        <v>721.8</v>
      </c>
      <c r="Z88" s="100">
        <f>Y88-SUM(Z16:Z87)</f>
        <v>690.8</v>
      </c>
      <c r="AA88" s="100">
        <f>Z88-SUM(AA16:AA87)</f>
        <v>622.79999999999995</v>
      </c>
      <c r="AB88" s="100">
        <f t="shared" ref="Z88:AM88" si="24">AA88-SUM(AB16:AB87)</f>
        <v>529.79999999999995</v>
      </c>
      <c r="AC88" s="100">
        <f t="shared" si="24"/>
        <v>492.79999999999995</v>
      </c>
      <c r="AD88" s="100">
        <f t="shared" si="24"/>
        <v>436.79999999999995</v>
      </c>
      <c r="AE88" s="100">
        <f t="shared" si="24"/>
        <v>374.79999999999995</v>
      </c>
      <c r="AF88" s="100">
        <f t="shared" si="24"/>
        <v>357.79999999999995</v>
      </c>
      <c r="AG88" s="100">
        <f t="shared" si="24"/>
        <v>296.79999999999995</v>
      </c>
      <c r="AH88" s="100">
        <f t="shared" si="24"/>
        <v>231.79999999999995</v>
      </c>
      <c r="AI88" s="100">
        <f t="shared" si="24"/>
        <v>191.79999999999995</v>
      </c>
      <c r="AJ88" s="100">
        <f t="shared" si="24"/>
        <v>155.79999999999995</v>
      </c>
      <c r="AK88" s="100">
        <f t="shared" si="24"/>
        <v>109.79999999999995</v>
      </c>
      <c r="AL88" s="100">
        <f t="shared" si="24"/>
        <v>26.799999999999955</v>
      </c>
      <c r="AM88" s="100">
        <f>AL88-SUM(AM16:AM87)</f>
        <v>-6.2000000000000455</v>
      </c>
      <c r="AN88" s="68"/>
      <c r="AO88" s="68"/>
    </row>
    <row r="89" spans="1:41" ht="60" customHeight="1">
      <c r="A89" s="102"/>
      <c r="B89" s="103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5"/>
      <c r="O89" s="68"/>
      <c r="P89" s="68"/>
      <c r="Q89" s="521"/>
      <c r="R89" s="106"/>
      <c r="S89" s="674">
        <f>S88/17</f>
        <v>47.635294117647057</v>
      </c>
      <c r="T89" s="674">
        <f>ROUND(S89,0)</f>
        <v>48</v>
      </c>
      <c r="U89" s="107"/>
      <c r="V89" s="130" t="s">
        <v>629</v>
      </c>
      <c r="W89" s="108">
        <f>S88-T89</f>
        <v>761.8</v>
      </c>
      <c r="X89" s="101">
        <f>W89-$T89</f>
        <v>713.8</v>
      </c>
      <c r="Y89" s="101">
        <f>X89-$T89</f>
        <v>665.8</v>
      </c>
      <c r="Z89" s="101">
        <f>Y89-$T89</f>
        <v>617.79999999999995</v>
      </c>
      <c r="AA89" s="101">
        <f t="shared" ref="AA89:AM89" si="25">Z89-$T89</f>
        <v>569.79999999999995</v>
      </c>
      <c r="AB89" s="101">
        <f t="shared" si="25"/>
        <v>521.79999999999995</v>
      </c>
      <c r="AC89" s="101">
        <f t="shared" si="25"/>
        <v>473.79999999999995</v>
      </c>
      <c r="AD89" s="101">
        <f t="shared" si="25"/>
        <v>425.79999999999995</v>
      </c>
      <c r="AE89" s="101">
        <f t="shared" si="25"/>
        <v>377.79999999999995</v>
      </c>
      <c r="AF89" s="101">
        <f t="shared" si="25"/>
        <v>329.79999999999995</v>
      </c>
      <c r="AG89" s="101">
        <f t="shared" si="25"/>
        <v>281.79999999999995</v>
      </c>
      <c r="AH89" s="101">
        <f t="shared" si="25"/>
        <v>233.79999999999995</v>
      </c>
      <c r="AI89" s="101">
        <f t="shared" si="25"/>
        <v>185.79999999999995</v>
      </c>
      <c r="AJ89" s="101">
        <f t="shared" si="25"/>
        <v>137.79999999999995</v>
      </c>
      <c r="AK89" s="101">
        <f t="shared" si="25"/>
        <v>89.799999999999955</v>
      </c>
      <c r="AL89" s="101">
        <f t="shared" si="25"/>
        <v>41.799999999999955</v>
      </c>
      <c r="AM89" s="101">
        <f t="shared" si="25"/>
        <v>-6.2000000000000455</v>
      </c>
      <c r="AN89" s="68"/>
      <c r="AO89" s="68"/>
    </row>
    <row r="90" spans="1:41" ht="60" customHeight="1">
      <c r="A90" s="109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75"/>
      <c r="R90" s="68"/>
      <c r="S90" s="68"/>
      <c r="T90" s="68"/>
      <c r="U90" s="68"/>
      <c r="V90" s="75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</row>
    <row r="91" spans="1:41" ht="30">
      <c r="A91" s="483" t="s">
        <v>630</v>
      </c>
      <c r="B91" s="483" t="s">
        <v>631</v>
      </c>
      <c r="C91" s="484" t="s">
        <v>632</v>
      </c>
      <c r="D91" s="484"/>
      <c r="E91" s="484"/>
      <c r="F91" s="484"/>
      <c r="G91" s="484"/>
      <c r="H91" s="484"/>
      <c r="I91" s="484"/>
      <c r="J91" s="484"/>
      <c r="K91" s="484"/>
      <c r="L91" s="484"/>
      <c r="M91" s="484"/>
      <c r="N91" s="484"/>
      <c r="O91" s="484"/>
      <c r="P91" s="484"/>
      <c r="Q91" s="484"/>
      <c r="R91" s="484" t="s">
        <v>633</v>
      </c>
      <c r="S91" s="330" t="s">
        <v>634</v>
      </c>
      <c r="T91" s="68"/>
      <c r="U91" s="68"/>
      <c r="V91" s="75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</row>
    <row r="92" spans="1:41" ht="45.75" customHeight="1">
      <c r="A92" s="483"/>
      <c r="B92" s="483"/>
      <c r="C92" s="484" t="s">
        <v>635</v>
      </c>
      <c r="D92" s="484"/>
      <c r="E92" s="562"/>
      <c r="F92" s="563" t="s">
        <v>636</v>
      </c>
      <c r="G92" s="564"/>
      <c r="H92" s="484" t="s">
        <v>637</v>
      </c>
      <c r="I92" s="484"/>
      <c r="J92" s="484" t="s">
        <v>638</v>
      </c>
      <c r="K92" s="484"/>
      <c r="L92" s="484" t="s">
        <v>639</v>
      </c>
      <c r="M92" s="484"/>
      <c r="N92" s="484" t="s">
        <v>640</v>
      </c>
      <c r="O92" s="484"/>
      <c r="P92" s="484" t="s">
        <v>641</v>
      </c>
      <c r="Q92" s="484"/>
      <c r="R92" s="484"/>
      <c r="S92" s="330" t="s">
        <v>642</v>
      </c>
    </row>
    <row r="93" spans="1:41">
      <c r="A93" s="329" t="s">
        <v>643</v>
      </c>
      <c r="B93" s="332">
        <v>5000</v>
      </c>
      <c r="C93" s="333">
        <v>0.14000000000000001</v>
      </c>
      <c r="D93" s="334">
        <f>B93*0.09</f>
        <v>450</v>
      </c>
      <c r="E93" s="335">
        <f>B93-D93</f>
        <v>4550</v>
      </c>
      <c r="F93" s="336" t="s">
        <v>644</v>
      </c>
      <c r="G93" s="337">
        <v>0</v>
      </c>
      <c r="H93" s="331" t="s">
        <v>645</v>
      </c>
      <c r="I93" s="332">
        <f>(E93*0.275)-869.36</f>
        <v>381.89</v>
      </c>
      <c r="J93" s="338">
        <v>0.08</v>
      </c>
      <c r="K93" s="332">
        <f>B93*0.08</f>
        <v>400</v>
      </c>
      <c r="L93" s="333">
        <v>1.4999999999999999E-2</v>
      </c>
      <c r="M93" s="332">
        <f>B93*0.015</f>
        <v>75</v>
      </c>
      <c r="N93" s="338">
        <v>0.06</v>
      </c>
      <c r="O93" s="332">
        <f>B93*0.06</f>
        <v>300</v>
      </c>
      <c r="P93" s="338">
        <v>0</v>
      </c>
      <c r="Q93" s="332">
        <v>0</v>
      </c>
      <c r="R93" s="332">
        <f>B93-D93-I93-K93-M93-O93-Q93</f>
        <v>3393.1099999999997</v>
      </c>
      <c r="S93" s="332">
        <f>B93/100</f>
        <v>50</v>
      </c>
    </row>
    <row r="94" spans="1:41">
      <c r="A94" s="329" t="s">
        <v>646</v>
      </c>
      <c r="B94" s="339">
        <v>2200</v>
      </c>
      <c r="C94" s="333">
        <v>0.09</v>
      </c>
      <c r="D94" s="334">
        <f>B94*0.09</f>
        <v>198</v>
      </c>
      <c r="E94" s="335">
        <f>B94-D94</f>
        <v>2002</v>
      </c>
      <c r="F94" s="340">
        <v>0.3</v>
      </c>
      <c r="G94" s="337">
        <f>B94*0.3</f>
        <v>660</v>
      </c>
      <c r="H94" s="331" t="s">
        <v>647</v>
      </c>
      <c r="I94" s="332">
        <f>(E94*0.075)-142.8</f>
        <v>7.3499999999999943</v>
      </c>
      <c r="J94" s="338">
        <v>0.08</v>
      </c>
      <c r="K94" s="332">
        <f>B94*0.08</f>
        <v>176</v>
      </c>
      <c r="L94" s="333">
        <v>1.4999999999999999E-2</v>
      </c>
      <c r="M94" s="332">
        <f t="shared" ref="M94:M96" si="26">B94*0.015</f>
        <v>33</v>
      </c>
      <c r="N94" s="338">
        <v>0.06</v>
      </c>
      <c r="O94" s="332">
        <f t="shared" ref="O94:O96" si="27">B94*0.06</f>
        <v>132</v>
      </c>
      <c r="P94" s="338">
        <v>0</v>
      </c>
      <c r="Q94" s="332">
        <v>0</v>
      </c>
      <c r="R94" s="332">
        <f t="shared" ref="R94:R96" si="28">B94-D94-I94-K94-M94-O94-Q94</f>
        <v>1653.65</v>
      </c>
      <c r="S94" s="332">
        <f>B94/100</f>
        <v>22</v>
      </c>
    </row>
    <row r="95" spans="1:41">
      <c r="A95" s="329" t="s">
        <v>648</v>
      </c>
      <c r="B95" s="339">
        <v>1870</v>
      </c>
      <c r="C95" s="333">
        <v>0.09</v>
      </c>
      <c r="D95" s="334">
        <f>B95*0.09</f>
        <v>168.29999999999998</v>
      </c>
      <c r="E95" s="335">
        <f>B95-D95</f>
        <v>1701.7</v>
      </c>
      <c r="F95" s="340">
        <v>0.3</v>
      </c>
      <c r="G95" s="337">
        <f>B95*0.3</f>
        <v>561</v>
      </c>
      <c r="H95" s="331" t="s">
        <v>649</v>
      </c>
      <c r="I95" s="329" t="s">
        <v>644</v>
      </c>
      <c r="J95" s="338">
        <v>0.08</v>
      </c>
      <c r="K95" s="332">
        <f>B95*0.08</f>
        <v>149.6</v>
      </c>
      <c r="L95" s="333">
        <v>1.4999999999999999E-2</v>
      </c>
      <c r="M95" s="332">
        <f t="shared" si="26"/>
        <v>28.05</v>
      </c>
      <c r="N95" s="338">
        <v>0.06</v>
      </c>
      <c r="O95" s="332">
        <f t="shared" si="27"/>
        <v>112.2</v>
      </c>
      <c r="P95" s="338">
        <v>0.02</v>
      </c>
      <c r="Q95" s="332">
        <f>B95*0.02</f>
        <v>37.4</v>
      </c>
      <c r="R95" s="332">
        <f>B95-D95-K95-M95-O95-Q95</f>
        <v>1374.45</v>
      </c>
      <c r="S95" s="332">
        <f>B95/100</f>
        <v>18.7</v>
      </c>
    </row>
    <row r="96" spans="1:41">
      <c r="A96" s="329" t="s">
        <v>650</v>
      </c>
      <c r="B96" s="332">
        <v>1045</v>
      </c>
      <c r="C96" s="333">
        <v>7.4999999999999997E-2</v>
      </c>
      <c r="D96" s="334">
        <f>B96*0.09</f>
        <v>94.05</v>
      </c>
      <c r="E96" s="335">
        <f>B96-D96</f>
        <v>950.95</v>
      </c>
      <c r="F96" s="340">
        <v>0.3</v>
      </c>
      <c r="G96" s="337">
        <f>B96*0.3</f>
        <v>313.5</v>
      </c>
      <c r="H96" s="331" t="s">
        <v>649</v>
      </c>
      <c r="I96" s="329" t="s">
        <v>644</v>
      </c>
      <c r="J96" s="338">
        <v>0.08</v>
      </c>
      <c r="K96" s="332">
        <f t="shared" ref="K96" si="29">B96*0.08</f>
        <v>83.600000000000009</v>
      </c>
      <c r="L96" s="333">
        <v>1.4999999999999999E-2</v>
      </c>
      <c r="M96" s="332">
        <f>B96*0.015</f>
        <v>15.674999999999999</v>
      </c>
      <c r="N96" s="338">
        <v>0.06</v>
      </c>
      <c r="O96" s="332">
        <f t="shared" si="27"/>
        <v>62.699999999999996</v>
      </c>
      <c r="P96" s="338">
        <v>0.02</v>
      </c>
      <c r="Q96" s="332">
        <f>B96*0.02</f>
        <v>20.900000000000002</v>
      </c>
      <c r="R96" s="332">
        <f>B96-D96-K96-M96-O96-Q96</f>
        <v>768.07500000000005</v>
      </c>
      <c r="S96" s="332">
        <f>B96/100</f>
        <v>10.45</v>
      </c>
    </row>
    <row r="97" spans="1:22">
      <c r="A97" s="70"/>
      <c r="V97"/>
    </row>
    <row r="98" spans="1:22">
      <c r="A98" s="70"/>
    </row>
    <row r="99" spans="1:22">
      <c r="A99" s="70"/>
    </row>
    <row r="100" spans="1:22">
      <c r="A100" s="70"/>
    </row>
    <row r="101" spans="1:22">
      <c r="A101" s="70"/>
    </row>
    <row r="102" spans="1:22">
      <c r="A102" s="70"/>
    </row>
    <row r="103" spans="1:22">
      <c r="A103" s="70"/>
    </row>
    <row r="104" spans="1:22">
      <c r="A104" s="70"/>
    </row>
    <row r="105" spans="1:22">
      <c r="A105" s="70"/>
    </row>
    <row r="106" spans="1:22">
      <c r="A106" s="70"/>
    </row>
    <row r="107" spans="1:22">
      <c r="A107" s="70"/>
    </row>
    <row r="108" spans="1:22">
      <c r="A108" s="70"/>
    </row>
    <row r="109" spans="1:22">
      <c r="A109" s="70"/>
    </row>
    <row r="110" spans="1:22">
      <c r="A110" s="70"/>
    </row>
    <row r="111" spans="1:22">
      <c r="A111" s="70"/>
    </row>
  </sheetData>
  <mergeCells count="83">
    <mergeCell ref="R91:R92"/>
    <mergeCell ref="C92:E92"/>
    <mergeCell ref="F92:G92"/>
    <mergeCell ref="H92:I92"/>
    <mergeCell ref="J92:K92"/>
    <mergeCell ref="L92:M92"/>
    <mergeCell ref="N92:O92"/>
    <mergeCell ref="P92:Q92"/>
    <mergeCell ref="B84:B87"/>
    <mergeCell ref="G7:H12"/>
    <mergeCell ref="A80:A87"/>
    <mergeCell ref="B42:B44"/>
    <mergeCell ref="B45:B48"/>
    <mergeCell ref="B49:B51"/>
    <mergeCell ref="B32:B35"/>
    <mergeCell ref="A36:A60"/>
    <mergeCell ref="B36:B37"/>
    <mergeCell ref="B38:B41"/>
    <mergeCell ref="B52:B54"/>
    <mergeCell ref="A16:A35"/>
    <mergeCell ref="B16:B21"/>
    <mergeCell ref="X14:X15"/>
    <mergeCell ref="A13:N13"/>
    <mergeCell ref="C14:C15"/>
    <mergeCell ref="D14:D15"/>
    <mergeCell ref="E14:E15"/>
    <mergeCell ref="F14:F15"/>
    <mergeCell ref="G14:G15"/>
    <mergeCell ref="H14:H15"/>
    <mergeCell ref="A14:B15"/>
    <mergeCell ref="U14:U15"/>
    <mergeCell ref="R14:R15"/>
    <mergeCell ref="W14:W15"/>
    <mergeCell ref="A71:A79"/>
    <mergeCell ref="B71:B75"/>
    <mergeCell ref="B55:B57"/>
    <mergeCell ref="B58:B60"/>
    <mergeCell ref="A61:A70"/>
    <mergeCell ref="B61:B64"/>
    <mergeCell ref="B65:B70"/>
    <mergeCell ref="I1:J6"/>
    <mergeCell ref="I7:J7"/>
    <mergeCell ref="I8:J8"/>
    <mergeCell ref="B27:B31"/>
    <mergeCell ref="B22:B26"/>
    <mergeCell ref="I9:J9"/>
    <mergeCell ref="I10:J10"/>
    <mergeCell ref="I11:J11"/>
    <mergeCell ref="G1:H6"/>
    <mergeCell ref="D1:F12"/>
    <mergeCell ref="A1:C12"/>
    <mergeCell ref="AM14:AM15"/>
    <mergeCell ref="W10:Y12"/>
    <mergeCell ref="Z10:AC12"/>
    <mergeCell ref="AD10:AH12"/>
    <mergeCell ref="AI10:AL12"/>
    <mergeCell ref="AM10:AM12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91:A92"/>
    <mergeCell ref="B91:B92"/>
    <mergeCell ref="C91:Q91"/>
    <mergeCell ref="AK14:AK15"/>
    <mergeCell ref="AL14:AL15"/>
    <mergeCell ref="AC14:AC15"/>
    <mergeCell ref="AD14:AD15"/>
    <mergeCell ref="B80:B83"/>
    <mergeCell ref="B76:B79"/>
    <mergeCell ref="I14:M14"/>
    <mergeCell ref="N14:N15"/>
    <mergeCell ref="T14:T15"/>
    <mergeCell ref="S14:S15"/>
    <mergeCell ref="Q1:Q89"/>
    <mergeCell ref="M1:N12"/>
    <mergeCell ref="K1:L12"/>
  </mergeCells>
  <phoneticPr fontId="55" type="noConversion"/>
  <conditionalFormatting sqref="T16:T87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{8A218E0B-F6AD-4E08-BF6C-FA32F4456746}</x14:id>
        </ext>
      </extLst>
    </cfRule>
  </conditionalFormatting>
  <dataValidations count="1">
    <dataValidation type="list" allowBlank="1" showInputMessage="1" showErrorMessage="1" sqref="R16:R87" xr:uid="{7D381815-1976-4147-BF91-B70059F558FD}">
      <formula1>"1,2,3"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218E0B-F6AD-4E08-BF6C-FA32F44567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T16:T87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2:N77"/>
  <sheetViews>
    <sheetView topLeftCell="A15" zoomScale="160" zoomScaleNormal="160" workbookViewId="0">
      <selection activeCell="Y55" sqref="Y55"/>
    </sheetView>
  </sheetViews>
  <sheetFormatPr defaultRowHeight="15"/>
  <cols>
    <col min="1" max="1" width="6" customWidth="1"/>
    <col min="3" max="3" width="3.7109375" customWidth="1"/>
    <col min="4" max="4" width="54.42578125" customWidth="1"/>
    <col min="5" max="5" width="15.28515625" customWidth="1"/>
    <col min="6" max="6" width="8" customWidth="1"/>
    <col min="7" max="7" width="3.7109375" customWidth="1"/>
    <col min="8" max="8" width="9.7109375" customWidth="1"/>
    <col min="9" max="9" width="32.5703125" customWidth="1"/>
    <col min="10" max="10" width="11.5703125" customWidth="1"/>
  </cols>
  <sheetData>
    <row r="2" spans="1:14" ht="15.75" customHeight="1">
      <c r="B2" s="567" t="s">
        <v>651</v>
      </c>
      <c r="C2" s="566" t="s">
        <v>652</v>
      </c>
      <c r="D2" s="566"/>
      <c r="E2" s="566"/>
      <c r="F2" s="566"/>
      <c r="G2" s="566"/>
      <c r="H2" s="566"/>
      <c r="I2" s="566"/>
      <c r="K2" s="16" t="s">
        <v>653</v>
      </c>
      <c r="L2" s="5">
        <f>COUNTIF(A4:A77,"FALSO")</f>
        <v>0</v>
      </c>
      <c r="M2" s="8">
        <f>L2/COUNTA(F4:F77)</f>
        <v>0</v>
      </c>
    </row>
    <row r="3" spans="1:14">
      <c r="B3" s="568"/>
      <c r="C3" s="565" t="s">
        <v>654</v>
      </c>
      <c r="D3" s="565"/>
      <c r="E3" s="273" t="s">
        <v>655</v>
      </c>
      <c r="F3" s="273" t="s">
        <v>656</v>
      </c>
      <c r="G3" s="14"/>
      <c r="H3" s="273" t="s">
        <v>116</v>
      </c>
      <c r="I3" s="273" t="s">
        <v>657</v>
      </c>
      <c r="K3" s="16" t="s">
        <v>658</v>
      </c>
      <c r="L3" s="5">
        <f>COUNTIF(A4:A77,TRUE)</f>
        <v>20</v>
      </c>
      <c r="M3" s="8">
        <f>L3/COUNTA(A4:A22)</f>
        <v>1.0526315789473684</v>
      </c>
    </row>
    <row r="4" spans="1:14">
      <c r="A4" s="6" t="b">
        <v>1</v>
      </c>
      <c r="B4" s="568"/>
      <c r="C4" s="5"/>
      <c r="D4" s="5" t="str">
        <f>'Dicionario EAP2'!C16</f>
        <v>Especificar o objetivo central do projeto.</v>
      </c>
      <c r="E4" s="4">
        <f>'Dicionario EAP2'!I16</f>
        <v>44421</v>
      </c>
      <c r="F4" s="207" t="str">
        <f>IF(A4=FALSE,"A Fazer","Feito")</f>
        <v>Feito</v>
      </c>
      <c r="G4" s="5"/>
      <c r="H4" s="5" t="str">
        <f t="shared" ref="H4:H67" si="0">IF(J4=FALSE,"Pendente","Revisado")</f>
        <v>Pendente</v>
      </c>
      <c r="I4" s="207"/>
      <c r="J4" s="236" t="b">
        <v>0</v>
      </c>
    </row>
    <row r="5" spans="1:14">
      <c r="A5" s="6" t="b">
        <v>1</v>
      </c>
      <c r="B5" s="568"/>
      <c r="C5" s="5"/>
      <c r="D5" s="5" t="str">
        <f>'Dicionario EAP2'!C17</f>
        <v>Direcionar os integrantes a seus objetivos.</v>
      </c>
      <c r="E5" s="4">
        <f>'Dicionario EAP2'!I17</f>
        <v>44425</v>
      </c>
      <c r="F5" s="9" t="str">
        <f t="shared" ref="F5:F13" si="1">IF(A5=FALSE,"A Fazer","Feito")</f>
        <v>Feito</v>
      </c>
      <c r="G5" s="5"/>
      <c r="H5" s="9" t="str">
        <f t="shared" si="0"/>
        <v>Revisado</v>
      </c>
      <c r="I5" s="10"/>
      <c r="J5" s="236" t="b">
        <v>1</v>
      </c>
    </row>
    <row r="6" spans="1:14">
      <c r="A6" s="6" t="b">
        <v>1</v>
      </c>
      <c r="B6" s="568"/>
      <c r="C6" s="5"/>
      <c r="D6" s="5" t="str">
        <f>'Dicionario EAP2'!C18</f>
        <v>Facilitar o reconhecimento das limitações e acrecismos dos integrantes do Projeto.</v>
      </c>
      <c r="E6" s="4">
        <f>'Dicionario EAP2'!I18</f>
        <v>44421</v>
      </c>
      <c r="F6" s="207" t="str">
        <f t="shared" si="1"/>
        <v>Feito</v>
      </c>
      <c r="G6" s="5"/>
      <c r="H6" s="5" t="str">
        <f t="shared" si="0"/>
        <v>Pendente</v>
      </c>
      <c r="I6" s="207"/>
      <c r="J6" s="236" t="b">
        <v>0</v>
      </c>
    </row>
    <row r="7" spans="1:14">
      <c r="A7" s="6" t="b">
        <v>1</v>
      </c>
      <c r="B7" s="568"/>
      <c r="C7" s="5"/>
      <c r="D7" s="5" t="str">
        <f>'Dicionario EAP2'!C19</f>
        <v xml:space="preserve"> Atribuição de reponsabilidades de integrantes especificos em determinadas temas.</v>
      </c>
      <c r="E7" s="4">
        <f>'Dicionario EAP2'!I19</f>
        <v>44427</v>
      </c>
      <c r="F7" s="207" t="str">
        <f t="shared" si="1"/>
        <v>Feito</v>
      </c>
      <c r="G7" s="5"/>
      <c r="H7" s="5" t="str">
        <f t="shared" si="0"/>
        <v>Pendente</v>
      </c>
      <c r="I7" s="207"/>
      <c r="J7" s="236" t="b">
        <v>0</v>
      </c>
    </row>
    <row r="8" spans="1:14">
      <c r="A8" s="6" t="b">
        <v>1</v>
      </c>
      <c r="B8" s="568"/>
      <c r="C8" s="5"/>
      <c r="D8" s="5" t="str">
        <f>'Dicionario EAP2'!C20</f>
        <v>Gerar um aprimoramento no que já foi realizado.</v>
      </c>
      <c r="E8" s="4">
        <f>'Dicionario EAP2'!I20</f>
        <v>44432</v>
      </c>
      <c r="F8" s="207" t="str">
        <f t="shared" si="1"/>
        <v>Feito</v>
      </c>
      <c r="G8" s="5"/>
      <c r="H8" s="5" t="str">
        <f t="shared" si="0"/>
        <v>Pendente</v>
      </c>
      <c r="I8" s="207"/>
      <c r="J8" s="236" t="b">
        <v>0</v>
      </c>
    </row>
    <row r="9" spans="1:14">
      <c r="A9" s="6" t="b">
        <v>1</v>
      </c>
      <c r="B9" s="568"/>
      <c r="C9" s="5"/>
      <c r="D9" s="5" t="str">
        <f>'Dicionario EAP2'!C21</f>
        <v>Cumprir com os criterios passados em sala de aula e do PMBOK.</v>
      </c>
      <c r="E9" s="4">
        <f>'Dicionario EAP2'!I21</f>
        <v>44434</v>
      </c>
      <c r="F9" s="207" t="str">
        <f t="shared" si="1"/>
        <v>Feito</v>
      </c>
      <c r="G9" s="5"/>
      <c r="H9" s="5" t="str">
        <f t="shared" si="0"/>
        <v>Pendente</v>
      </c>
      <c r="I9" s="207"/>
      <c r="J9" s="236" t="b">
        <v>0</v>
      </c>
    </row>
    <row r="10" spans="1:14">
      <c r="A10" s="6" t="b">
        <v>1</v>
      </c>
      <c r="B10" s="568"/>
      <c r="C10" s="5"/>
      <c r="D10" s="5" t="str">
        <f>'Dicionario EAP2'!C22</f>
        <v>Definir e separar as principais renponsabilidades em etapas.</v>
      </c>
      <c r="E10" s="4">
        <f>'Dicionario EAP2'!I22</f>
        <v>44432</v>
      </c>
      <c r="F10" s="207" t="str">
        <f t="shared" si="1"/>
        <v>Feito</v>
      </c>
      <c r="G10" s="5"/>
      <c r="H10" s="5" t="str">
        <f t="shared" si="0"/>
        <v>Pendente</v>
      </c>
      <c r="I10" s="207"/>
      <c r="J10" s="236" t="b">
        <v>0</v>
      </c>
    </row>
    <row r="11" spans="1:14">
      <c r="A11" s="6" t="b">
        <v>1</v>
      </c>
      <c r="B11" s="568"/>
      <c r="C11" s="5"/>
      <c r="D11" s="5" t="str">
        <f>'Dicionario EAP2'!C23</f>
        <v>Desmembrar as etapas em tarefas.</v>
      </c>
      <c r="E11" s="4">
        <f>'Dicionario EAP2'!I23</f>
        <v>44432</v>
      </c>
      <c r="F11" s="207" t="str">
        <f t="shared" si="1"/>
        <v>Feito</v>
      </c>
      <c r="G11" s="5"/>
      <c r="H11" s="5" t="str">
        <f t="shared" si="0"/>
        <v>Pendente</v>
      </c>
      <c r="I11" s="207"/>
      <c r="J11" s="236" t="b">
        <v>0</v>
      </c>
    </row>
    <row r="12" spans="1:14">
      <c r="A12" s="6" t="b">
        <v>1</v>
      </c>
      <c r="B12" s="568"/>
      <c r="C12" s="5"/>
      <c r="D12" s="5" t="str">
        <f>'Dicionario EAP2'!C24</f>
        <v>Direcionar de maneira mais profundada a todos os processos do projeto.</v>
      </c>
      <c r="E12" s="4">
        <f>'Dicionario EAP2'!I24</f>
        <v>44434</v>
      </c>
      <c r="F12" s="207" t="str">
        <f t="shared" si="1"/>
        <v>Feito</v>
      </c>
      <c r="G12" s="5"/>
      <c r="H12" s="5" t="str">
        <f t="shared" si="0"/>
        <v>Pendente</v>
      </c>
      <c r="I12" s="207"/>
      <c r="J12" s="236" t="b">
        <v>0</v>
      </c>
    </row>
    <row r="13" spans="1:14" ht="17.25" customHeight="1">
      <c r="A13" s="6" t="b">
        <v>1</v>
      </c>
      <c r="B13" s="568"/>
      <c r="C13" s="5"/>
      <c r="D13" s="5" t="str">
        <f>'Dicionario EAP2'!C25</f>
        <v>Gerar um aprimoramento naquilo que já foi executado.</v>
      </c>
      <c r="E13" s="4">
        <f>'Dicionario EAP2'!I25</f>
        <v>44439</v>
      </c>
      <c r="F13" s="207" t="str">
        <f t="shared" si="1"/>
        <v>Feito</v>
      </c>
      <c r="G13" s="5"/>
      <c r="H13" s="5" t="str">
        <f t="shared" si="0"/>
        <v>Pendente</v>
      </c>
      <c r="I13" s="207"/>
      <c r="J13" s="236" t="b">
        <v>0</v>
      </c>
    </row>
    <row r="14" spans="1:14">
      <c r="A14" s="6" t="b">
        <v>1</v>
      </c>
      <c r="B14" s="568"/>
      <c r="C14" s="5"/>
      <c r="D14" s="5" t="str">
        <f>'Dicionario EAP2'!C26</f>
        <v>Cumprir com os criterios passados em sala de aula e do PMBOK.</v>
      </c>
      <c r="E14" s="4">
        <f>'Dicionario EAP2'!I26</f>
        <v>44439</v>
      </c>
      <c r="F14" s="207" t="str">
        <f>IF(A14=FALSE,"A Fazer","Feito")</f>
        <v>Feito</v>
      </c>
      <c r="G14" s="5"/>
      <c r="H14" s="5" t="str">
        <f t="shared" si="0"/>
        <v>Pendente</v>
      </c>
      <c r="I14" s="207"/>
      <c r="J14" s="236" t="b">
        <v>0</v>
      </c>
      <c r="N14" s="7"/>
    </row>
    <row r="15" spans="1:14">
      <c r="A15" s="6" t="b">
        <v>1</v>
      </c>
      <c r="B15" s="568"/>
      <c r="C15" s="5"/>
      <c r="D15" s="5" t="str">
        <f>'Dicionario EAP2'!C27</f>
        <v>Finalidade do Projeto, a meta final.</v>
      </c>
      <c r="E15" s="4">
        <f>'Dicionario EAP2'!I27</f>
        <v>44441</v>
      </c>
      <c r="F15" s="207" t="str">
        <f t="shared" ref="F15:F77" si="2">IF(A15=FALSE,"A Fazer","Feito")</f>
        <v>Feito</v>
      </c>
      <c r="G15" s="5"/>
      <c r="H15" s="5" t="str">
        <f t="shared" si="0"/>
        <v>Pendente</v>
      </c>
      <c r="I15" s="207"/>
      <c r="J15" s="236" t="b">
        <v>0</v>
      </c>
      <c r="K15" s="18" t="s">
        <v>659</v>
      </c>
      <c r="L15" s="17">
        <f>COUNTIF(J4:J22,"FALSO")</f>
        <v>17</v>
      </c>
      <c r="M15" s="8">
        <f>L15/COUNTA(H4:H22)</f>
        <v>0.89473684210526316</v>
      </c>
    </row>
    <row r="16" spans="1:14">
      <c r="A16" s="6" t="b">
        <v>1</v>
      </c>
      <c r="B16" s="568"/>
      <c r="C16" s="5"/>
      <c r="D16" s="5" t="str">
        <f>'Dicionario EAP2'!C28</f>
        <v>Levar um tempo de trabalho necessario e esperado.</v>
      </c>
      <c r="E16" s="4">
        <f>'Dicionario EAP2'!I28</f>
        <v>44447</v>
      </c>
      <c r="F16" s="207" t="str">
        <f t="shared" si="2"/>
        <v>Feito</v>
      </c>
      <c r="G16" s="5"/>
      <c r="H16" s="5" t="str">
        <f t="shared" si="0"/>
        <v>Pendente</v>
      </c>
      <c r="I16" s="207"/>
      <c r="J16" s="236" t="b">
        <v>0</v>
      </c>
      <c r="K16" s="18" t="s">
        <v>660</v>
      </c>
      <c r="L16" s="17">
        <f>COUNTIF(J4:J22,TRUE)</f>
        <v>2</v>
      </c>
      <c r="M16" s="8">
        <f>L16/COUNTA(H4:H22)</f>
        <v>0.10526315789473684</v>
      </c>
    </row>
    <row r="17" spans="1:10">
      <c r="A17" s="6" t="b">
        <v>1</v>
      </c>
      <c r="B17" s="568"/>
      <c r="C17" s="5"/>
      <c r="D17" s="5" t="str">
        <f>'Dicionario EAP2'!C29</f>
        <v>Levar uma elaboração antecipada.</v>
      </c>
      <c r="E17" s="4">
        <f>'Dicionario EAP2'!I29</f>
        <v>44448</v>
      </c>
      <c r="F17" s="207" t="str">
        <f t="shared" si="2"/>
        <v>Feito</v>
      </c>
      <c r="G17" s="5"/>
      <c r="H17" s="5" t="str">
        <f t="shared" si="0"/>
        <v>Pendente</v>
      </c>
      <c r="I17" s="207"/>
      <c r="J17" s="236" t="b">
        <v>0</v>
      </c>
    </row>
    <row r="18" spans="1:10">
      <c r="A18" s="6" t="b">
        <v>1</v>
      </c>
      <c r="B18" s="568"/>
      <c r="C18" s="5"/>
      <c r="D18" s="5" t="str">
        <f>'Dicionario EAP2'!C30</f>
        <v>Gerar um aprimoramento naquilo que já foi executado.</v>
      </c>
      <c r="E18" s="4">
        <f>'Dicionario EAP2'!I30</f>
        <v>44449</v>
      </c>
      <c r="F18" s="207" t="str">
        <f t="shared" si="2"/>
        <v>Feito</v>
      </c>
      <c r="G18" s="5"/>
      <c r="H18" s="5" t="str">
        <f t="shared" si="0"/>
        <v>Pendente</v>
      </c>
      <c r="I18" s="207"/>
      <c r="J18" s="236" t="b">
        <v>0</v>
      </c>
    </row>
    <row r="19" spans="1:10">
      <c r="A19" s="6" t="b">
        <v>1</v>
      </c>
      <c r="B19" s="568"/>
      <c r="C19" s="5"/>
      <c r="D19" s="5" t="str">
        <f>'Dicionario EAP2'!C31</f>
        <v>Cumprir com os criterios passados em aula e do PMBOK.</v>
      </c>
      <c r="E19" s="4">
        <f>'Dicionario EAP2'!I31</f>
        <v>44449</v>
      </c>
      <c r="F19" s="207" t="str">
        <f t="shared" si="2"/>
        <v>Feito</v>
      </c>
      <c r="G19" s="5"/>
      <c r="H19" s="5" t="str">
        <f t="shared" si="0"/>
        <v>Pendente</v>
      </c>
      <c r="I19" s="207"/>
      <c r="J19" s="236" t="b">
        <v>0</v>
      </c>
    </row>
    <row r="20" spans="1:10">
      <c r="A20" s="6" t="b">
        <v>1</v>
      </c>
      <c r="B20" s="568"/>
      <c r="C20" s="5"/>
      <c r="D20" s="5" t="str">
        <f>'Dicionario EAP2'!C32</f>
        <v>Levantar  os possiveis riscos.</v>
      </c>
      <c r="E20" s="4">
        <f>'Dicionario EAP2'!I32</f>
        <v>44453</v>
      </c>
      <c r="F20" s="207" t="str">
        <f t="shared" si="2"/>
        <v>Feito</v>
      </c>
      <c r="G20" s="5"/>
      <c r="H20" s="5" t="str">
        <f t="shared" si="0"/>
        <v>Pendente</v>
      </c>
      <c r="I20" s="207"/>
      <c r="J20" s="236" t="b">
        <v>0</v>
      </c>
    </row>
    <row r="21" spans="1:10">
      <c r="A21" s="6" t="b">
        <v>1</v>
      </c>
      <c r="B21" s="568"/>
      <c r="C21" s="5"/>
      <c r="D21" s="5" t="str">
        <f>'Dicionario EAP2'!C33</f>
        <v>Preparar-se sob a probabilidade dos riscos.</v>
      </c>
      <c r="E21" s="4">
        <f>'Dicionario EAP2'!I33</f>
        <v>44455</v>
      </c>
      <c r="F21" s="207" t="str">
        <f t="shared" si="2"/>
        <v>Feito</v>
      </c>
      <c r="G21" s="5"/>
      <c r="H21" s="5" t="str">
        <f t="shared" si="0"/>
        <v>Pendente</v>
      </c>
      <c r="I21" s="207"/>
      <c r="J21" s="236" t="b">
        <v>0</v>
      </c>
    </row>
    <row r="22" spans="1:10">
      <c r="A22" s="6" t="b">
        <v>1</v>
      </c>
      <c r="B22" s="568"/>
      <c r="C22" s="5"/>
      <c r="D22" s="5" t="str">
        <f>'Dicionario EAP2'!C34</f>
        <v>Gerar possiveis consequências.</v>
      </c>
      <c r="E22" s="4">
        <f>'Dicionario EAP2'!I34</f>
        <v>44455</v>
      </c>
      <c r="F22" s="207" t="str">
        <f t="shared" si="2"/>
        <v>Feito</v>
      </c>
      <c r="H22" s="5" t="str">
        <f t="shared" si="0"/>
        <v>Revisado</v>
      </c>
      <c r="I22" s="207"/>
      <c r="J22" s="236" t="b">
        <v>1</v>
      </c>
    </row>
    <row r="23" spans="1:10">
      <c r="A23" s="6" t="b">
        <v>1</v>
      </c>
      <c r="B23" s="568"/>
      <c r="C23" s="5"/>
      <c r="D23" s="5" t="str">
        <f>'Dicionario EAP2'!C35</f>
        <v>Comparar o tempo de trabalho com a meta.</v>
      </c>
      <c r="E23" s="4">
        <f>'Dicionario EAP2'!I35</f>
        <v>44455</v>
      </c>
      <c r="F23" s="207" t="str">
        <f t="shared" si="2"/>
        <v>Feito</v>
      </c>
      <c r="H23" s="5" t="str">
        <f t="shared" si="0"/>
        <v>Revisado</v>
      </c>
      <c r="I23" s="207"/>
      <c r="J23" s="236" t="b">
        <v>1</v>
      </c>
    </row>
    <row r="24" spans="1:10">
      <c r="B24" s="568"/>
      <c r="D24" s="5" t="str">
        <f>'Dicionario EAP2'!C36</f>
        <v>Permitir que todos os quadros de energia possam ser instalados dentro do quadro de distribuição</v>
      </c>
      <c r="E24" s="4">
        <f>'Dicionario EAP2'!I36</f>
        <v>44459</v>
      </c>
      <c r="F24" s="207" t="str">
        <f t="shared" si="2"/>
        <v>A Fazer</v>
      </c>
      <c r="H24" s="5" t="str">
        <f t="shared" si="0"/>
        <v>Revisado</v>
      </c>
      <c r="I24" s="207"/>
      <c r="J24" s="236" t="b">
        <v>1</v>
      </c>
    </row>
    <row r="25" spans="1:10">
      <c r="B25" s="568"/>
      <c r="D25" s="5" t="str">
        <f>'Dicionario EAP2'!C37</f>
        <v>Proteção de todos os circuitos da residência, seguindo a norma NR10.</v>
      </c>
      <c r="E25" s="4">
        <f>'Dicionario EAP2'!I37</f>
        <v>44459</v>
      </c>
      <c r="F25" s="207" t="str">
        <f t="shared" si="2"/>
        <v>A Fazer</v>
      </c>
      <c r="H25" s="5" t="str">
        <f t="shared" si="0"/>
        <v>Pendente</v>
      </c>
      <c r="I25" s="207"/>
      <c r="J25" s="236" t="b">
        <v>0</v>
      </c>
    </row>
    <row r="26" spans="1:10">
      <c r="B26" s="568"/>
      <c r="D26" s="5" t="str">
        <f>'Dicionario EAP2'!C38</f>
        <v>Fazer a alimentação das câmeras e do DRV com condutores isolados e sem imendas nos eletrodutos.</v>
      </c>
      <c r="E26" s="4">
        <f>'Dicionario EAP2'!I38</f>
        <v>44461</v>
      </c>
      <c r="F26" s="207" t="str">
        <f t="shared" si="2"/>
        <v>A Fazer</v>
      </c>
      <c r="H26" s="5" t="str">
        <f t="shared" si="0"/>
        <v>Revisado</v>
      </c>
      <c r="I26" s="207"/>
      <c r="J26" s="236" t="b">
        <v>1</v>
      </c>
    </row>
    <row r="27" spans="1:10">
      <c r="B27" s="568"/>
      <c r="D27" s="5" t="str">
        <f>'Dicionario EAP2'!C39</f>
        <v>Fixar as câmeras e fazer a alimentação e a transmição de dados com facilidade.</v>
      </c>
      <c r="E27" s="4">
        <f>'Dicionario EAP2'!I39</f>
        <v>44462</v>
      </c>
      <c r="F27" s="207" t="str">
        <f t="shared" si="2"/>
        <v>A Fazer</v>
      </c>
      <c r="H27" s="5" t="str">
        <f t="shared" si="0"/>
        <v>Revisado</v>
      </c>
      <c r="I27" s="207"/>
      <c r="J27" s="236" t="b">
        <v>1</v>
      </c>
    </row>
    <row r="28" spans="1:10">
      <c r="B28" s="568"/>
      <c r="D28" s="5" t="str">
        <f>'Dicionario EAP2'!C40</f>
        <v>Permitir a comunicação do monitor com o DRV</v>
      </c>
      <c r="E28" s="4">
        <f>'Dicionario EAP2'!I40</f>
        <v>44462</v>
      </c>
      <c r="F28" s="207" t="str">
        <f t="shared" si="2"/>
        <v>A Fazer</v>
      </c>
      <c r="H28" s="5" t="str">
        <f t="shared" si="0"/>
        <v>Revisado</v>
      </c>
      <c r="I28" s="207"/>
      <c r="J28" s="236" t="b">
        <v>1</v>
      </c>
    </row>
    <row r="29" spans="1:10">
      <c r="B29" s="568"/>
      <c r="D29" s="5" t="str">
        <f>'Dicionario EAP2'!C41</f>
        <v>Permitir a visualização dos pontos de vigilância no monitor</v>
      </c>
      <c r="E29" s="4">
        <f>'Dicionario EAP2'!I41</f>
        <v>44462</v>
      </c>
      <c r="F29" s="207" t="str">
        <f t="shared" si="2"/>
        <v>A Fazer</v>
      </c>
      <c r="H29" s="5" t="str">
        <f t="shared" si="0"/>
        <v>Revisado</v>
      </c>
      <c r="I29" s="207"/>
      <c r="J29" s="236" t="b">
        <v>1</v>
      </c>
    </row>
    <row r="30" spans="1:10">
      <c r="B30" s="568"/>
      <c r="D30" s="5" t="str">
        <f>'Dicionario EAP2'!C42</f>
        <v>Que os cabos passados sejam alimentados e devidamente isolados sem imentas nos eletrodutos.</v>
      </c>
      <c r="E30" s="4">
        <f>'Dicionario EAP2'!I42</f>
        <v>44463</v>
      </c>
      <c r="F30" s="207" t="str">
        <f t="shared" si="2"/>
        <v>A Fazer</v>
      </c>
      <c r="H30" s="5" t="str">
        <f t="shared" si="0"/>
        <v>Revisado</v>
      </c>
      <c r="I30" s="207"/>
      <c r="J30" s="236" t="b">
        <v>1</v>
      </c>
    </row>
    <row r="31" spans="1:10">
      <c r="B31" s="568"/>
      <c r="D31" s="5" t="str">
        <f>'Dicionario EAP2'!C43</f>
        <v>Ligar todas as conexões dos sensores corretamente.</v>
      </c>
      <c r="E31" s="4">
        <f>'Dicionario EAP2'!I43</f>
        <v>44463</v>
      </c>
      <c r="F31" s="207" t="str">
        <f t="shared" si="2"/>
        <v>A Fazer</v>
      </c>
      <c r="H31" s="5" t="str">
        <f t="shared" si="0"/>
        <v>Revisado</v>
      </c>
      <c r="I31" s="207"/>
      <c r="J31" s="236" t="b">
        <v>1</v>
      </c>
    </row>
    <row r="32" spans="1:10">
      <c r="B32" s="568"/>
      <c r="D32" s="5" t="str">
        <f>'Dicionario EAP2'!C44</f>
        <v>Fazer a comunicação entre central de alarme de incêndio e sensores de fumaça.</v>
      </c>
      <c r="E32" s="4">
        <f>'Dicionario EAP2'!I44</f>
        <v>44466</v>
      </c>
      <c r="F32" s="207" t="str">
        <f t="shared" si="2"/>
        <v>A Fazer</v>
      </c>
      <c r="H32" s="5" t="str">
        <f t="shared" si="0"/>
        <v>Revisado</v>
      </c>
      <c r="I32" s="207"/>
      <c r="J32" s="236" t="b">
        <v>1</v>
      </c>
    </row>
    <row r="33" spans="2:10">
      <c r="B33" s="568"/>
      <c r="D33" s="5" t="str">
        <f>'Dicionario EAP2'!C45</f>
        <v>Que os cabos passados sejam alimentados e devidamente isolados sem emendas nos eletrodutos.</v>
      </c>
      <c r="E33" s="4">
        <f>'Dicionario EAP2'!I45</f>
        <v>44474</v>
      </c>
      <c r="F33" s="207" t="str">
        <f t="shared" si="2"/>
        <v>A Fazer</v>
      </c>
      <c r="H33" s="5" t="str">
        <f t="shared" si="0"/>
        <v>Revisado</v>
      </c>
      <c r="I33" s="207"/>
      <c r="J33" s="236" t="b">
        <v>1</v>
      </c>
    </row>
    <row r="34" spans="2:10">
      <c r="B34" s="568"/>
      <c r="D34" s="5" t="str">
        <f>'Dicionario EAP2'!C46</f>
        <v xml:space="preserve">Fazer a instalação dos interruptores e lâmpadas </v>
      </c>
      <c r="E34" s="4">
        <f>'Dicionario EAP2'!I46</f>
        <v>44476</v>
      </c>
      <c r="F34" s="207" t="str">
        <f t="shared" si="2"/>
        <v>A Fazer</v>
      </c>
      <c r="H34" s="5" t="str">
        <f t="shared" si="0"/>
        <v>Revisado</v>
      </c>
      <c r="I34" s="207"/>
      <c r="J34" s="236" t="b">
        <v>1</v>
      </c>
    </row>
    <row r="35" spans="2:10">
      <c r="B35" s="568"/>
      <c r="D35" s="5" t="str">
        <f>'Dicionario EAP2'!C47</f>
        <v>fazer a integração dos sistema de iluminação com os aplicativos (bluelux,sonoff).</v>
      </c>
      <c r="E35" s="4">
        <f>'Dicionario EAP2'!I47</f>
        <v>44477</v>
      </c>
      <c r="F35" s="207" t="str">
        <f t="shared" si="2"/>
        <v>A Fazer</v>
      </c>
      <c r="H35" s="5" t="str">
        <f t="shared" si="0"/>
        <v>Revisado</v>
      </c>
      <c r="I35" s="207"/>
      <c r="J35" s="236" t="b">
        <v>1</v>
      </c>
    </row>
    <row r="36" spans="2:10">
      <c r="B36" s="568"/>
      <c r="D36" s="5" t="str">
        <f>'Dicionario EAP2'!C48</f>
        <v>Verificar o funcionamento do sistema de iluminação controlado pelos dispositivos moveis.</v>
      </c>
      <c r="E36" s="4">
        <f>'Dicionario EAP2'!I48</f>
        <v>44477</v>
      </c>
      <c r="F36" s="207" t="str">
        <f t="shared" si="2"/>
        <v>A Fazer</v>
      </c>
      <c r="H36" s="5" t="str">
        <f t="shared" si="0"/>
        <v>Revisado</v>
      </c>
      <c r="I36" s="207"/>
      <c r="J36" s="236" t="b">
        <v>1</v>
      </c>
    </row>
    <row r="37" spans="2:10">
      <c r="B37" s="568"/>
      <c r="D37" s="5" t="str">
        <f>'Dicionario EAP2'!C49</f>
        <v>Fazer a instalação do monitor de energia no painel.</v>
      </c>
      <c r="E37" s="4">
        <f>'Dicionario EAP2'!I49</f>
        <v>44487</v>
      </c>
      <c r="F37" s="207" t="str">
        <f t="shared" si="2"/>
        <v>A Fazer</v>
      </c>
      <c r="H37" s="5" t="str">
        <f t="shared" si="0"/>
        <v>Revisado</v>
      </c>
      <c r="I37" s="207"/>
      <c r="J37" s="236" t="b">
        <v>1</v>
      </c>
    </row>
    <row r="38" spans="2:10">
      <c r="B38" s="568"/>
      <c r="D38" s="5" t="str">
        <f>'Dicionario EAP2'!C50</f>
        <v>verificar funcionamento do monitor de energia.</v>
      </c>
      <c r="E38" s="4">
        <f>'Dicionario EAP2'!I50</f>
        <v>44493</v>
      </c>
      <c r="F38" s="207" t="str">
        <f t="shared" si="2"/>
        <v>A Fazer</v>
      </c>
      <c r="H38" s="5" t="str">
        <f t="shared" si="0"/>
        <v>Revisado</v>
      </c>
      <c r="I38" s="207"/>
      <c r="J38" s="236" t="b">
        <v>1</v>
      </c>
    </row>
    <row r="39" spans="2:10">
      <c r="B39" s="568"/>
      <c r="D39" s="5" t="str">
        <f>'Dicionario EAP2'!C51</f>
        <v>Verificar se o monitor de energia está funcionando corretamente.</v>
      </c>
      <c r="E39" s="4">
        <f>'Dicionario EAP2'!I51</f>
        <v>44493</v>
      </c>
      <c r="F39" s="207" t="str">
        <f t="shared" si="2"/>
        <v>A Fazer</v>
      </c>
      <c r="H39" s="5" t="str">
        <f t="shared" si="0"/>
        <v>Revisado</v>
      </c>
      <c r="I39" s="207"/>
      <c r="J39" s="236" t="b">
        <v>1</v>
      </c>
    </row>
    <row r="40" spans="2:10">
      <c r="B40" s="568"/>
      <c r="D40" s="5" t="str">
        <f>'Dicionario EAP2'!C52</f>
        <v>Controlar alexa pelo app.</v>
      </c>
      <c r="E40" s="4">
        <f>'Dicionario EAP2'!I53</f>
        <v>44497</v>
      </c>
      <c r="F40" s="207" t="str">
        <f t="shared" si="2"/>
        <v>A Fazer</v>
      </c>
      <c r="H40" s="5" t="str">
        <f t="shared" si="0"/>
        <v>Revisado</v>
      </c>
      <c r="I40" s="207"/>
      <c r="J40" s="236" t="b">
        <v>1</v>
      </c>
    </row>
    <row r="41" spans="2:10">
      <c r="B41" s="568"/>
      <c r="D41" s="5" t="str">
        <f>'Dicionario EAP2'!C53</f>
        <v>Alexa Responder aos comandos corretamente.</v>
      </c>
      <c r="E41" s="4" t="e">
        <f>'Dicionario EAP2'!#REF!</f>
        <v>#REF!</v>
      </c>
      <c r="F41" s="207" t="str">
        <f t="shared" si="2"/>
        <v>A Fazer</v>
      </c>
      <c r="H41" s="5" t="str">
        <f t="shared" si="0"/>
        <v>Revisado</v>
      </c>
      <c r="I41" s="207"/>
      <c r="J41" s="236" t="b">
        <v>1</v>
      </c>
    </row>
    <row r="42" spans="2:10">
      <c r="B42" s="568"/>
      <c r="D42" s="5" t="str">
        <f>'Dicionario EAP2'!C54</f>
        <v>Alexa controlar outros dispositivos.</v>
      </c>
      <c r="E42" s="4">
        <f>'Dicionario EAP2'!I54</f>
        <v>44504</v>
      </c>
      <c r="F42" s="207" t="str">
        <f t="shared" si="2"/>
        <v>A Fazer</v>
      </c>
      <c r="H42" s="5" t="str">
        <f t="shared" si="0"/>
        <v>Revisado</v>
      </c>
      <c r="I42" s="207"/>
      <c r="J42" s="236" t="b">
        <v>1</v>
      </c>
    </row>
    <row r="43" spans="2:10">
      <c r="B43" s="568"/>
      <c r="D43" s="5" t="str">
        <f>'Dicionario EAP2'!C55</f>
        <v>Interfone estar fixado.</v>
      </c>
      <c r="E43" s="4">
        <f>'Dicionario EAP2'!I55</f>
        <v>44469</v>
      </c>
      <c r="F43" s="207" t="str">
        <f t="shared" si="2"/>
        <v>A Fazer</v>
      </c>
      <c r="H43" s="5" t="str">
        <f t="shared" si="0"/>
        <v>Revisado</v>
      </c>
      <c r="I43" s="207"/>
      <c r="J43" s="236" t="b">
        <v>1</v>
      </c>
    </row>
    <row r="44" spans="2:10">
      <c r="B44" s="568"/>
      <c r="D44" s="5" t="str">
        <f>'Dicionario EAP2'!C56</f>
        <v>Verificar o funcionando do interfone</v>
      </c>
      <c r="E44" s="4">
        <f>'Dicionario EAP2'!I56</f>
        <v>44470</v>
      </c>
      <c r="F44" s="207" t="str">
        <f t="shared" si="2"/>
        <v>A Fazer</v>
      </c>
      <c r="H44" s="5" t="str">
        <f t="shared" si="0"/>
        <v>Revisado</v>
      </c>
      <c r="I44" s="207"/>
      <c r="J44" s="236" t="b">
        <v>1</v>
      </c>
    </row>
    <row r="45" spans="2:10">
      <c r="B45" s="568"/>
      <c r="D45" s="5" t="str">
        <f>'Dicionario EAP2'!C57</f>
        <v>Interfone funcionar junto ao sistema de segurança</v>
      </c>
      <c r="E45" s="4">
        <f>'Dicionario EAP2'!I57</f>
        <v>44470</v>
      </c>
      <c r="F45" s="207" t="str">
        <f t="shared" si="2"/>
        <v>A Fazer</v>
      </c>
      <c r="H45" s="5" t="str">
        <f t="shared" si="0"/>
        <v>Revisado</v>
      </c>
      <c r="I45" s="207"/>
      <c r="J45" s="236" t="b">
        <v>1</v>
      </c>
    </row>
    <row r="46" spans="2:10">
      <c r="B46" s="568"/>
      <c r="D46" s="5" t="str">
        <f>'Dicionario EAP2'!C58</f>
        <v xml:space="preserve"> Instalação das travas  automaticas.</v>
      </c>
      <c r="E46" s="4">
        <f>'Dicionario EAP2'!I58</f>
        <v>44470</v>
      </c>
      <c r="F46" s="207" t="str">
        <f t="shared" si="2"/>
        <v>A Fazer</v>
      </c>
      <c r="H46" s="5" t="str">
        <f t="shared" si="0"/>
        <v>Pendente</v>
      </c>
      <c r="I46" s="207"/>
      <c r="J46" s="236"/>
    </row>
    <row r="47" spans="2:10">
      <c r="B47" s="568"/>
      <c r="D47" s="5" t="str">
        <f>'Dicionario EAP2'!C59</f>
        <v xml:space="preserve">Verificar o  funcionamento da trava. </v>
      </c>
      <c r="E47" s="4">
        <f>'Dicionario EAP2'!I59</f>
        <v>44470</v>
      </c>
      <c r="F47" s="207" t="str">
        <f t="shared" si="2"/>
        <v>A Fazer</v>
      </c>
      <c r="H47" s="5" t="str">
        <f t="shared" si="0"/>
        <v>Pendente</v>
      </c>
      <c r="I47" s="207"/>
      <c r="J47" s="236"/>
    </row>
    <row r="48" spans="2:10">
      <c r="B48" s="568"/>
      <c r="D48" s="5" t="str">
        <f>'Dicionario EAP2'!C60</f>
        <v>Integrar com sistema de segurança</v>
      </c>
      <c r="E48" s="4">
        <f>'Dicionario EAP2'!I60</f>
        <v>44470</v>
      </c>
      <c r="F48" s="207" t="str">
        <f t="shared" si="2"/>
        <v>A Fazer</v>
      </c>
      <c r="H48" s="5" t="str">
        <f t="shared" si="0"/>
        <v>Pendente</v>
      </c>
      <c r="I48" s="207"/>
      <c r="J48" s="236"/>
    </row>
    <row r="49" spans="2:10">
      <c r="B49" s="568"/>
      <c r="D49" s="5" t="str">
        <f>'Dicionario EAP2'!C61</f>
        <v>Acrescentar base ao projeto.</v>
      </c>
      <c r="E49" s="4">
        <f>'Dicionario EAP2'!I61</f>
        <v>0</v>
      </c>
      <c r="F49" s="207" t="str">
        <f t="shared" si="2"/>
        <v>A Fazer</v>
      </c>
      <c r="H49" s="5" t="str">
        <f t="shared" si="0"/>
        <v>Pendente</v>
      </c>
      <c r="I49" s="207"/>
      <c r="J49" s="236"/>
    </row>
    <row r="50" spans="2:10">
      <c r="B50" s="568"/>
      <c r="D50" s="5" t="str">
        <f>'Dicionario EAP2'!C62</f>
        <v>Garantir material ao projeto.</v>
      </c>
      <c r="E50" s="4">
        <f>'Dicionario EAP2'!I62</f>
        <v>0</v>
      </c>
      <c r="F50" s="207" t="str">
        <f t="shared" si="2"/>
        <v>A Fazer</v>
      </c>
      <c r="H50" s="5" t="str">
        <f t="shared" si="0"/>
        <v>Pendente</v>
      </c>
      <c r="I50" s="207"/>
      <c r="J50" s="236"/>
    </row>
    <row r="51" spans="2:10">
      <c r="B51" s="568"/>
      <c r="D51" s="5" t="str">
        <f>'Dicionario EAP2'!C63</f>
        <v>Ser um meio de realização do trabalho.</v>
      </c>
      <c r="E51" s="4">
        <f>'Dicionario EAP2'!I63</f>
        <v>0</v>
      </c>
      <c r="F51" s="207" t="str">
        <f t="shared" si="2"/>
        <v>A Fazer</v>
      </c>
      <c r="H51" s="5" t="str">
        <f t="shared" si="0"/>
        <v>Pendente</v>
      </c>
      <c r="I51" s="207"/>
      <c r="J51" s="236"/>
    </row>
    <row r="52" spans="2:10">
      <c r="B52" s="568"/>
      <c r="D52" s="5" t="str">
        <f>'Dicionario EAP2'!C64</f>
        <v>Sistema base do projeto.</v>
      </c>
      <c r="E52" s="4">
        <f>'Dicionario EAP2'!I64</f>
        <v>0</v>
      </c>
      <c r="F52" s="207" t="str">
        <f t="shared" si="2"/>
        <v>A Fazer</v>
      </c>
      <c r="H52" s="5" t="str">
        <f t="shared" si="0"/>
        <v>Pendente</v>
      </c>
      <c r="I52" s="207"/>
      <c r="J52" s="236"/>
    </row>
    <row r="53" spans="2:10">
      <c r="B53" s="568"/>
      <c r="D53" s="5" t="str">
        <f>'Dicionario EAP2'!C65</f>
        <v>Fazer a comunicação das câmeras com a central.</v>
      </c>
      <c r="E53" s="4">
        <f>'Dicionario EAP2'!I65</f>
        <v>44462</v>
      </c>
      <c r="F53" s="207" t="str">
        <f t="shared" si="2"/>
        <v>A Fazer</v>
      </c>
      <c r="H53" s="5" t="str">
        <f t="shared" si="0"/>
        <v>Pendente</v>
      </c>
      <c r="I53" s="207"/>
      <c r="J53" s="236"/>
    </row>
    <row r="54" spans="2:10">
      <c r="B54" s="568"/>
      <c r="D54" s="5" t="str">
        <f>'Dicionario EAP2'!C66</f>
        <v>O acionamento da iluminaçao remotamente.</v>
      </c>
      <c r="E54" s="4">
        <f>'Dicionario EAP2'!I66</f>
        <v>44474</v>
      </c>
      <c r="F54" s="207" t="str">
        <f t="shared" si="2"/>
        <v>A Fazer</v>
      </c>
      <c r="H54" s="5" t="str">
        <f t="shared" si="0"/>
        <v>Pendente</v>
      </c>
      <c r="I54" s="207"/>
      <c r="J54" s="236"/>
    </row>
    <row r="55" spans="2:10">
      <c r="B55" s="568"/>
      <c r="D55" s="5" t="str">
        <f>'Dicionario EAP2'!C67</f>
        <v>Comunicação da central com os sensores.</v>
      </c>
      <c r="E55" s="4">
        <f>'Dicionario EAP2'!I67</f>
        <v>44466</v>
      </c>
      <c r="F55" s="207" t="str">
        <f t="shared" si="2"/>
        <v>A Fazer</v>
      </c>
      <c r="H55" s="5" t="str">
        <f t="shared" si="0"/>
        <v>Pendente</v>
      </c>
      <c r="I55" s="207"/>
      <c r="J55" s="236"/>
    </row>
    <row r="56" spans="2:10">
      <c r="B56" s="568"/>
      <c r="D56" s="5" t="str">
        <f>'Dicionario EAP2'!C68</f>
        <v xml:space="preserve">Monitoramento do consumo de energia. </v>
      </c>
      <c r="E56" s="4">
        <f>'Dicionario EAP2'!I68</f>
        <v>44487</v>
      </c>
      <c r="F56" s="207" t="str">
        <f t="shared" si="2"/>
        <v>A Fazer</v>
      </c>
      <c r="H56" s="5" t="str">
        <f t="shared" si="0"/>
        <v>Pendente</v>
      </c>
      <c r="I56" s="207"/>
      <c r="J56" s="236"/>
    </row>
    <row r="57" spans="2:10">
      <c r="B57" s="568"/>
      <c r="D57" s="5" t="e">
        <f>'Dicionario EAP2'!#REF!</f>
        <v>#REF!</v>
      </c>
      <c r="E57" s="4" t="e">
        <f>'Dicionario EAP2'!#REF!</f>
        <v>#REF!</v>
      </c>
      <c r="F57" s="207" t="str">
        <f t="shared" si="2"/>
        <v>A Fazer</v>
      </c>
      <c r="H57" s="5" t="str">
        <f t="shared" si="0"/>
        <v>Pendente</v>
      </c>
      <c r="I57" s="207"/>
      <c r="J57" s="236"/>
    </row>
    <row r="58" spans="2:10">
      <c r="B58" s="568"/>
      <c r="D58" s="5" t="str">
        <f>'Dicionario EAP2'!C69</f>
        <v>Fazer a comunicação via WI-FI.</v>
      </c>
      <c r="E58" s="4">
        <f>'Dicionario EAP2'!I69</f>
        <v>44487</v>
      </c>
      <c r="F58" s="207" t="str">
        <f t="shared" si="2"/>
        <v>A Fazer</v>
      </c>
      <c r="H58" s="5" t="str">
        <f t="shared" si="0"/>
        <v>Pendente</v>
      </c>
      <c r="I58" s="207"/>
      <c r="J58" s="236"/>
    </row>
    <row r="59" spans="2:10">
      <c r="B59" s="568"/>
      <c r="D59" s="5" t="str">
        <f>'Dicionario EAP2'!C70</f>
        <v>Comunicação entre os dispositivos.</v>
      </c>
      <c r="E59" s="4">
        <f>'Dicionario EAP2'!I70</f>
        <v>44498</v>
      </c>
      <c r="F59" s="207" t="str">
        <f t="shared" si="2"/>
        <v>A Fazer</v>
      </c>
      <c r="H59" s="5" t="str">
        <f t="shared" si="0"/>
        <v>Pendente</v>
      </c>
      <c r="I59" s="207"/>
      <c r="J59" s="236"/>
    </row>
    <row r="60" spans="2:10">
      <c r="B60" s="568"/>
      <c r="D60" s="5" t="str">
        <f>'Dicionario EAP2'!C71</f>
        <v>Analisar se as atividades realizadas satisfaz as expectativas da equipe.</v>
      </c>
      <c r="E60" s="4">
        <f>'Dicionario EAP2'!I71</f>
        <v>44501</v>
      </c>
      <c r="F60" s="207" t="str">
        <f t="shared" si="2"/>
        <v>A Fazer</v>
      </c>
      <c r="H60" s="5" t="str">
        <f t="shared" si="0"/>
        <v>Pendente</v>
      </c>
      <c r="I60" s="207"/>
      <c r="J60" s="236"/>
    </row>
    <row r="61" spans="2:10">
      <c r="B61" s="568"/>
      <c r="D61" s="5" t="str">
        <f>'Dicionario EAP2'!C72</f>
        <v>Analizar se as atividades realizadas satisfaz as expectativas da equipe.</v>
      </c>
      <c r="E61" s="4">
        <f>'Dicionario EAP2'!I72</f>
        <v>44501</v>
      </c>
      <c r="F61" s="207" t="str">
        <f t="shared" si="2"/>
        <v>A Fazer</v>
      </c>
      <c r="H61" s="5" t="str">
        <f t="shared" si="0"/>
        <v>Pendente</v>
      </c>
      <c r="I61" s="207"/>
      <c r="J61" s="236"/>
    </row>
    <row r="62" spans="2:10">
      <c r="B62" s="568"/>
      <c r="D62" s="5" t="str">
        <f>'Dicionario EAP2'!C73</f>
        <v>Analizar se as atividades realizadas satisfaz as expectativas da equipe.</v>
      </c>
      <c r="E62" s="4">
        <f>'Dicionario EAP2'!I73</f>
        <v>44501</v>
      </c>
      <c r="F62" s="207" t="str">
        <f t="shared" si="2"/>
        <v>A Fazer</v>
      </c>
      <c r="H62" s="5" t="str">
        <f t="shared" si="0"/>
        <v>Pendente</v>
      </c>
      <c r="I62" s="207"/>
      <c r="J62" s="236"/>
    </row>
    <row r="63" spans="2:10">
      <c r="B63" s="568"/>
      <c r="D63" s="5" t="str">
        <f>'Dicionario EAP2'!C74</f>
        <v>Analizar se as atividades realizadas satisfaz as expectativas da equipe.</v>
      </c>
      <c r="E63" s="4">
        <f>'Dicionario EAP2'!I74</f>
        <v>44501</v>
      </c>
      <c r="F63" s="207" t="str">
        <f t="shared" si="2"/>
        <v>A Fazer</v>
      </c>
      <c r="H63" s="5" t="str">
        <f t="shared" si="0"/>
        <v>Pendente</v>
      </c>
      <c r="I63" s="207"/>
      <c r="J63" s="236"/>
    </row>
    <row r="64" spans="2:10">
      <c r="B64" s="568"/>
      <c r="D64" s="5" t="e">
        <f>'Dicionario EAP2'!#REF!</f>
        <v>#REF!</v>
      </c>
      <c r="E64" s="4" t="e">
        <f>'Dicionario EAP2'!#REF!</f>
        <v>#REF!</v>
      </c>
      <c r="F64" s="207" t="str">
        <f t="shared" si="2"/>
        <v>A Fazer</v>
      </c>
      <c r="H64" s="5" t="str">
        <f t="shared" si="0"/>
        <v>Pendente</v>
      </c>
      <c r="I64" s="207"/>
      <c r="J64" s="236"/>
    </row>
    <row r="65" spans="2:10">
      <c r="B65" s="568"/>
      <c r="D65" s="5" t="str">
        <f>'Dicionario EAP2'!C75</f>
        <v>Analizar se as atividades realizadas satisfaz as expectativas da equipe.</v>
      </c>
      <c r="E65" s="4">
        <f>'Dicionario EAP2'!I75</f>
        <v>44501</v>
      </c>
      <c r="F65" s="207" t="str">
        <f t="shared" si="2"/>
        <v>A Fazer</v>
      </c>
      <c r="H65" s="5" t="str">
        <f t="shared" si="0"/>
        <v>Pendente</v>
      </c>
      <c r="I65" s="207"/>
      <c r="J65" s="236"/>
    </row>
    <row r="66" spans="2:10">
      <c r="B66" s="568"/>
      <c r="D66" s="5" t="str">
        <f>'Dicionario EAP2'!C76</f>
        <v>Garantir que tudo esteja como planejado.</v>
      </c>
      <c r="E66" s="4">
        <f>'Dicionario EAP2'!I76</f>
        <v>44516</v>
      </c>
      <c r="F66" s="207" t="str">
        <f t="shared" si="2"/>
        <v>A Fazer</v>
      </c>
      <c r="H66" s="5" t="str">
        <f t="shared" si="0"/>
        <v>Pendente</v>
      </c>
      <c r="I66" s="207"/>
      <c r="J66" s="236"/>
    </row>
    <row r="67" spans="2:10">
      <c r="B67" s="568"/>
      <c r="D67" s="5" t="str">
        <f>'Dicionario EAP2'!C77</f>
        <v>Garantir que tudo esteja nos conformes</v>
      </c>
      <c r="E67" s="4">
        <f>'Dicionario EAP2'!I77</f>
        <v>44503</v>
      </c>
      <c r="F67" s="207" t="str">
        <f t="shared" si="2"/>
        <v>A Fazer</v>
      </c>
      <c r="H67" s="5" t="str">
        <f t="shared" si="0"/>
        <v>Pendente</v>
      </c>
      <c r="I67" s="207"/>
      <c r="J67" s="236"/>
    </row>
    <row r="68" spans="2:10">
      <c r="B68" s="568"/>
      <c r="D68" s="5" t="str">
        <f>'Dicionario EAP2'!C78</f>
        <v>Aceitação do cliente de acordo com que foi pedido.</v>
      </c>
      <c r="E68" s="4">
        <f>'Dicionario EAP2'!I78</f>
        <v>44518</v>
      </c>
      <c r="F68" s="207" t="str">
        <f t="shared" si="2"/>
        <v>A Fazer</v>
      </c>
      <c r="H68" s="5" t="str">
        <f t="shared" ref="H68:H77" si="3">IF(J68=FALSE,"Pendente","Revisado")</f>
        <v>Pendente</v>
      </c>
      <c r="I68" s="207"/>
      <c r="J68" s="236"/>
    </row>
    <row r="69" spans="2:10">
      <c r="B69" s="568"/>
      <c r="D69" s="5" t="str">
        <f>'Dicionario EAP2'!C79</f>
        <v>Satisfação do cliente.</v>
      </c>
      <c r="E69" s="4">
        <f>'Dicionario EAP2'!I79</f>
        <v>44518</v>
      </c>
      <c r="F69" s="207" t="str">
        <f t="shared" si="2"/>
        <v>A Fazer</v>
      </c>
      <c r="H69" s="5" t="str">
        <f t="shared" si="3"/>
        <v>Pendente</v>
      </c>
      <c r="I69" s="207"/>
      <c r="J69" s="236"/>
    </row>
    <row r="70" spans="2:10">
      <c r="B70" s="568"/>
      <c r="D70" s="5" t="str">
        <f>'Dicionario EAP2'!C80</f>
        <v>Garantir que tudo esteja como planejado.</v>
      </c>
      <c r="E70" s="4">
        <f>'Dicionario EAP2'!I80</f>
        <v>44516</v>
      </c>
      <c r="F70" s="207" t="str">
        <f t="shared" si="2"/>
        <v>A Fazer</v>
      </c>
      <c r="H70" s="5" t="str">
        <f t="shared" si="3"/>
        <v>Pendente</v>
      </c>
      <c r="I70" s="207"/>
      <c r="J70" s="236"/>
    </row>
    <row r="71" spans="2:10">
      <c r="B71" s="568"/>
      <c r="D71" s="5" t="str">
        <f>'Dicionario EAP2'!C81</f>
        <v>Aprovação dos Orientadores.</v>
      </c>
      <c r="E71" s="4">
        <f>'Dicionario EAP2'!I81</f>
        <v>44523</v>
      </c>
      <c r="F71" s="207" t="str">
        <f t="shared" si="2"/>
        <v>A Fazer</v>
      </c>
      <c r="H71" s="5" t="str">
        <f t="shared" si="3"/>
        <v>Pendente</v>
      </c>
      <c r="I71" s="207"/>
      <c r="J71" s="236"/>
    </row>
    <row r="72" spans="2:10">
      <c r="B72" s="568"/>
      <c r="D72" s="5" t="str">
        <f>'Dicionario EAP2'!C82</f>
        <v>Gerar um melhoramento naquilo que já foi executado.</v>
      </c>
      <c r="E72" s="4">
        <f>'Dicionario EAP2'!I82</f>
        <v>44524</v>
      </c>
      <c r="F72" s="207" t="str">
        <f t="shared" si="2"/>
        <v>A Fazer</v>
      </c>
      <c r="H72" s="5" t="str">
        <f t="shared" si="3"/>
        <v>Pendente</v>
      </c>
      <c r="I72" s="207"/>
      <c r="J72" s="236"/>
    </row>
    <row r="73" spans="2:10">
      <c r="B73" s="568"/>
      <c r="D73" s="5" t="str">
        <f>'Dicionario EAP2'!C83</f>
        <v>Executar entrega.</v>
      </c>
      <c r="E73" s="4">
        <f>'Dicionario EAP2'!I83</f>
        <v>44525</v>
      </c>
      <c r="F73" s="207" t="str">
        <f t="shared" si="2"/>
        <v>A Fazer</v>
      </c>
      <c r="H73" s="5" t="str">
        <f t="shared" si="3"/>
        <v>Pendente</v>
      </c>
      <c r="I73" s="207"/>
      <c r="J73" s="236"/>
    </row>
    <row r="74" spans="2:10">
      <c r="B74" s="568"/>
      <c r="D74" s="5" t="str">
        <f>'Dicionario EAP2'!C84</f>
        <v>Fácil entendimento e que sirva de base para apresentação final.</v>
      </c>
      <c r="E74" s="4">
        <f>'Dicionario EAP2'!I84</f>
        <v>44477</v>
      </c>
      <c r="F74" s="207" t="str">
        <f t="shared" si="2"/>
        <v>A Fazer</v>
      </c>
      <c r="H74" s="5" t="str">
        <f t="shared" si="3"/>
        <v>Pendente</v>
      </c>
      <c r="I74" s="207"/>
      <c r="J74" s="236"/>
    </row>
    <row r="75" spans="2:10">
      <c r="B75" s="568"/>
      <c r="D75" s="5" t="str">
        <f>'Dicionario EAP2'!C85</f>
        <v>Demonstrar segurança para apresentação.</v>
      </c>
      <c r="E75" s="4">
        <f>'Dicionario EAP2'!I85</f>
        <v>44523</v>
      </c>
      <c r="F75" s="207" t="str">
        <f t="shared" si="2"/>
        <v>A Fazer</v>
      </c>
      <c r="H75" s="5" t="str">
        <f t="shared" si="3"/>
        <v>Pendente</v>
      </c>
      <c r="I75" s="207"/>
      <c r="J75" s="236"/>
    </row>
    <row r="76" spans="2:10">
      <c r="B76" s="568"/>
      <c r="D76" s="5" t="str">
        <f>'Dicionario EAP2'!C86</f>
        <v>Mostrar que a equipe está preparada para apresentação.</v>
      </c>
      <c r="E76" s="4">
        <f>'Dicionario EAP2'!I86</f>
        <v>44524</v>
      </c>
      <c r="F76" s="207" t="str">
        <f t="shared" si="2"/>
        <v>A Fazer</v>
      </c>
      <c r="H76" s="5" t="str">
        <f t="shared" si="3"/>
        <v>Pendente</v>
      </c>
      <c r="I76" s="207"/>
      <c r="J76" s="236"/>
    </row>
    <row r="77" spans="2:10">
      <c r="B77" s="568"/>
      <c r="D77" s="5" t="str">
        <f>'Dicionario EAP2'!C87</f>
        <v>Apresentar para o Orientador e empresa parceira.</v>
      </c>
      <c r="E77" s="4">
        <f>'Dicionario EAP2'!I87</f>
        <v>44531</v>
      </c>
      <c r="F77" s="207" t="str">
        <f t="shared" si="2"/>
        <v>A Fazer</v>
      </c>
      <c r="H77" s="5" t="str">
        <f t="shared" si="3"/>
        <v>Pendente</v>
      </c>
      <c r="I77" s="207"/>
      <c r="J77" s="236"/>
    </row>
  </sheetData>
  <mergeCells count="3">
    <mergeCell ref="C3:D3"/>
    <mergeCell ref="C2:I2"/>
    <mergeCell ref="B2:B77"/>
  </mergeCells>
  <conditionalFormatting sqref="C4:F4 C5:C13 F5:F13 D5:E77 H4:H77">
    <cfRule type="expression" dxfId="35" priority="15">
      <formula>$A4</formula>
    </cfRule>
    <cfRule type="expression" priority="16">
      <formula>$A4</formula>
    </cfRule>
  </conditionalFormatting>
  <conditionalFormatting sqref="C4:F4 C5:C13 F5:F13 D5:E77 H4:H77">
    <cfRule type="expression" dxfId="34" priority="14">
      <formula>$A4</formula>
    </cfRule>
  </conditionalFormatting>
  <conditionalFormatting sqref="H4:H77">
    <cfRule type="containsText" dxfId="33" priority="12" operator="containsText" text="Repasado">
      <formula>NOT(ISERROR(SEARCH("Repasado",H4)))</formula>
    </cfRule>
    <cfRule type="containsText" dxfId="32" priority="13" operator="containsText" text="Repasadp">
      <formula>NOT(ISERROR(SEARCH("Repasadp",H4)))</formula>
    </cfRule>
  </conditionalFormatting>
  <conditionalFormatting sqref="C14:C23 F14:F23 F25:F77 H14:H77">
    <cfRule type="expression" dxfId="31" priority="10">
      <formula>$A14</formula>
    </cfRule>
    <cfRule type="expression" priority="11">
      <formula>$A14</formula>
    </cfRule>
  </conditionalFormatting>
  <conditionalFormatting sqref="C14:C23 F14:F23 F25:F77 H14:H77">
    <cfRule type="expression" dxfId="30" priority="9">
      <formula>$A14</formula>
    </cfRule>
  </conditionalFormatting>
  <conditionalFormatting sqref="H14:H77">
    <cfRule type="containsText" dxfId="29" priority="7" operator="containsText" text="Repasado">
      <formula>NOT(ISERROR(SEARCH("Repasado",H14)))</formula>
    </cfRule>
    <cfRule type="containsText" dxfId="28" priority="8" operator="containsText" text="Repasadp">
      <formula>NOT(ISERROR(SEARCH("Repasadp",H14)))</formula>
    </cfRule>
  </conditionalFormatting>
  <conditionalFormatting sqref="H4:H77">
    <cfRule type="cellIs" dxfId="27" priority="6" operator="equal">
      <formula>"Pendente"</formula>
    </cfRule>
  </conditionalFormatting>
  <conditionalFormatting sqref="F4:F23 F25:F77">
    <cfRule type="cellIs" dxfId="26" priority="5" operator="equal">
      <formula>"A Fazer"</formula>
    </cfRule>
  </conditionalFormatting>
  <conditionalFormatting sqref="F24 G4:G21">
    <cfRule type="expression" dxfId="25" priority="3">
      <formula>$A4</formula>
    </cfRule>
    <cfRule type="expression" priority="4">
      <formula>$A4</formula>
    </cfRule>
  </conditionalFormatting>
  <conditionalFormatting sqref="F24 G4:G21">
    <cfRule type="expression" dxfId="24" priority="2">
      <formula>$A4</formula>
    </cfRule>
  </conditionalFormatting>
  <conditionalFormatting sqref="F24">
    <cfRule type="cellIs" dxfId="23" priority="1" operator="equal">
      <formula>"A Fazer"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28575</xdr:colOff>
                    <xdr:row>2</xdr:row>
                    <xdr:rowOff>161925</xdr:rowOff>
                  </from>
                  <to>
                    <xdr:col>3</xdr:col>
                    <xdr:colOff>85725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171450</xdr:rowOff>
                  </from>
                  <to>
                    <xdr:col>3</xdr:col>
                    <xdr:colOff>76200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28575</xdr:colOff>
                    <xdr:row>4</xdr:row>
                    <xdr:rowOff>285750</xdr:rowOff>
                  </from>
                  <to>
                    <xdr:col>3</xdr:col>
                    <xdr:colOff>85725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9525</xdr:rowOff>
                  </from>
                  <to>
                    <xdr:col>3</xdr:col>
                    <xdr:colOff>76200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171450</xdr:rowOff>
                  </from>
                  <to>
                    <xdr:col>3</xdr:col>
                    <xdr:colOff>76200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9525</xdr:colOff>
                    <xdr:row>2</xdr:row>
                    <xdr:rowOff>171450</xdr:rowOff>
                  </from>
                  <to>
                    <xdr:col>7</xdr:col>
                    <xdr:colOff>66675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171450</xdr:rowOff>
                  </from>
                  <to>
                    <xdr:col>3</xdr:col>
                    <xdr:colOff>76200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161925</xdr:rowOff>
                  </from>
                  <to>
                    <xdr:col>3</xdr:col>
                    <xdr:colOff>76200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171450</xdr:rowOff>
                  </from>
                  <to>
                    <xdr:col>3</xdr:col>
                    <xdr:colOff>76200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171450</xdr:rowOff>
                  </from>
                  <to>
                    <xdr:col>3</xdr:col>
                    <xdr:colOff>76200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171450</xdr:rowOff>
                  </from>
                  <to>
                    <xdr:col>3</xdr:col>
                    <xdr:colOff>76200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6</xdr:col>
                    <xdr:colOff>9525</xdr:colOff>
                    <xdr:row>3</xdr:row>
                    <xdr:rowOff>180975</xdr:rowOff>
                  </from>
                  <to>
                    <xdr:col>7</xdr:col>
                    <xdr:colOff>66675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6</xdr:col>
                    <xdr:colOff>9525</xdr:colOff>
                    <xdr:row>4</xdr:row>
                    <xdr:rowOff>161925</xdr:rowOff>
                  </from>
                  <to>
                    <xdr:col>7</xdr:col>
                    <xdr:colOff>66675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6</xdr:col>
                    <xdr:colOff>9525</xdr:colOff>
                    <xdr:row>5</xdr:row>
                    <xdr:rowOff>171450</xdr:rowOff>
                  </from>
                  <to>
                    <xdr:col>7</xdr:col>
                    <xdr:colOff>66675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6</xdr:col>
                    <xdr:colOff>9525</xdr:colOff>
                    <xdr:row>6</xdr:row>
                    <xdr:rowOff>171450</xdr:rowOff>
                  </from>
                  <to>
                    <xdr:col>7</xdr:col>
                    <xdr:colOff>66675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6</xdr:col>
                    <xdr:colOff>9525</xdr:colOff>
                    <xdr:row>7</xdr:row>
                    <xdr:rowOff>171450</xdr:rowOff>
                  </from>
                  <to>
                    <xdr:col>7</xdr:col>
                    <xdr:colOff>66675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6</xdr:col>
                    <xdr:colOff>9525</xdr:colOff>
                    <xdr:row>8</xdr:row>
                    <xdr:rowOff>161925</xdr:rowOff>
                  </from>
                  <to>
                    <xdr:col>7</xdr:col>
                    <xdr:colOff>66675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9525</xdr:colOff>
                    <xdr:row>9</xdr:row>
                    <xdr:rowOff>161925</xdr:rowOff>
                  </from>
                  <to>
                    <xdr:col>7</xdr:col>
                    <xdr:colOff>66675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6</xdr:col>
                    <xdr:colOff>9525</xdr:colOff>
                    <xdr:row>10</xdr:row>
                    <xdr:rowOff>161925</xdr:rowOff>
                  </from>
                  <to>
                    <xdr:col>7</xdr:col>
                    <xdr:colOff>66675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6</xdr:col>
                    <xdr:colOff>9525</xdr:colOff>
                    <xdr:row>11</xdr:row>
                    <xdr:rowOff>161925</xdr:rowOff>
                  </from>
                  <to>
                    <xdr:col>7</xdr:col>
                    <xdr:colOff>66675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171450</xdr:rowOff>
                  </from>
                  <to>
                    <xdr:col>3</xdr:col>
                    <xdr:colOff>76200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161925</xdr:rowOff>
                  </from>
                  <to>
                    <xdr:col>3</xdr:col>
                    <xdr:colOff>76200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161925</xdr:rowOff>
                  </from>
                  <to>
                    <xdr:col>3</xdr:col>
                    <xdr:colOff>76200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171450</xdr:rowOff>
                  </from>
                  <to>
                    <xdr:col>3</xdr:col>
                    <xdr:colOff>76200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171450</xdr:rowOff>
                  </from>
                  <to>
                    <xdr:col>3</xdr:col>
                    <xdr:colOff>76200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161925</xdr:rowOff>
                  </from>
                  <to>
                    <xdr:col>3</xdr:col>
                    <xdr:colOff>76200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171450</xdr:rowOff>
                  </from>
                  <to>
                    <xdr:col>3</xdr:col>
                    <xdr:colOff>76200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2</xdr:col>
                    <xdr:colOff>19050</xdr:colOff>
                    <xdr:row>20</xdr:row>
                    <xdr:rowOff>171450</xdr:rowOff>
                  </from>
                  <to>
                    <xdr:col>3</xdr:col>
                    <xdr:colOff>76200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2</xdr:col>
                    <xdr:colOff>19050</xdr:colOff>
                    <xdr:row>21</xdr:row>
                    <xdr:rowOff>171450</xdr:rowOff>
                  </from>
                  <to>
                    <xdr:col>3</xdr:col>
                    <xdr:colOff>76200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6</xdr:col>
                    <xdr:colOff>9525</xdr:colOff>
                    <xdr:row>13</xdr:row>
                    <xdr:rowOff>161925</xdr:rowOff>
                  </from>
                  <to>
                    <xdr:col>7</xdr:col>
                    <xdr:colOff>66675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6</xdr:col>
                    <xdr:colOff>9525</xdr:colOff>
                    <xdr:row>14</xdr:row>
                    <xdr:rowOff>161925</xdr:rowOff>
                  </from>
                  <to>
                    <xdr:col>7</xdr:col>
                    <xdr:colOff>66675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6</xdr:col>
                    <xdr:colOff>9525</xdr:colOff>
                    <xdr:row>15</xdr:row>
                    <xdr:rowOff>171450</xdr:rowOff>
                  </from>
                  <to>
                    <xdr:col>7</xdr:col>
                    <xdr:colOff>66675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6</xdr:col>
                    <xdr:colOff>9525</xdr:colOff>
                    <xdr:row>16</xdr:row>
                    <xdr:rowOff>171450</xdr:rowOff>
                  </from>
                  <to>
                    <xdr:col>7</xdr:col>
                    <xdr:colOff>66675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6</xdr:col>
                    <xdr:colOff>9525</xdr:colOff>
                    <xdr:row>17</xdr:row>
                    <xdr:rowOff>171450</xdr:rowOff>
                  </from>
                  <to>
                    <xdr:col>7</xdr:col>
                    <xdr:colOff>66675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6</xdr:col>
                    <xdr:colOff>9525</xdr:colOff>
                    <xdr:row>18</xdr:row>
                    <xdr:rowOff>161925</xdr:rowOff>
                  </from>
                  <to>
                    <xdr:col>7</xdr:col>
                    <xdr:colOff>66675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6</xdr:col>
                    <xdr:colOff>9525</xdr:colOff>
                    <xdr:row>19</xdr:row>
                    <xdr:rowOff>161925</xdr:rowOff>
                  </from>
                  <to>
                    <xdr:col>7</xdr:col>
                    <xdr:colOff>66675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6</xdr:col>
                    <xdr:colOff>9525</xdr:colOff>
                    <xdr:row>20</xdr:row>
                    <xdr:rowOff>161925</xdr:rowOff>
                  </from>
                  <to>
                    <xdr:col>7</xdr:col>
                    <xdr:colOff>66675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 macro="[0]!Caixadeseleção38_Clique">
                <anchor moveWithCells="1">
                  <from>
                    <xdr:col>6</xdr:col>
                    <xdr:colOff>9525</xdr:colOff>
                    <xdr:row>21</xdr:row>
                    <xdr:rowOff>161925</xdr:rowOff>
                  </from>
                  <to>
                    <xdr:col>7</xdr:col>
                    <xdr:colOff>66675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2</xdr:col>
                    <xdr:colOff>9525</xdr:colOff>
                    <xdr:row>12</xdr:row>
                    <xdr:rowOff>180975</xdr:rowOff>
                  </from>
                  <to>
                    <xdr:col>3</xdr:col>
                    <xdr:colOff>66675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6</xdr:col>
                    <xdr:colOff>9525</xdr:colOff>
                    <xdr:row>12</xdr:row>
                    <xdr:rowOff>200025</xdr:rowOff>
                  </from>
                  <to>
                    <xdr:col>7</xdr:col>
                    <xdr:colOff>66675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44" name="Check Box 101">
              <controlPr defaultSize="0" autoFill="0" autoLine="0" autoPict="0">
                <anchor moveWithCells="1">
                  <from>
                    <xdr:col>6</xdr:col>
                    <xdr:colOff>28575</xdr:colOff>
                    <xdr:row>40</xdr:row>
                    <xdr:rowOff>161925</xdr:rowOff>
                  </from>
                  <to>
                    <xdr:col>6</xdr:col>
                    <xdr:colOff>238125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45" name="Check Box 103">
              <controlPr defaultSize="0" autoFill="0" autoLine="0" autoPict="0">
                <anchor moveWithCells="1">
                  <from>
                    <xdr:col>6</xdr:col>
                    <xdr:colOff>28575</xdr:colOff>
                    <xdr:row>42</xdr:row>
                    <xdr:rowOff>161925</xdr:rowOff>
                  </from>
                  <to>
                    <xdr:col>6</xdr:col>
                    <xdr:colOff>238125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46" name="Check Box 104">
              <controlPr defaultSize="0" autoFill="0" autoLine="0" autoPict="0">
                <anchor moveWithCells="1">
                  <from>
                    <xdr:col>6</xdr:col>
                    <xdr:colOff>28575</xdr:colOff>
                    <xdr:row>42</xdr:row>
                    <xdr:rowOff>161925</xdr:rowOff>
                  </from>
                  <to>
                    <xdr:col>6</xdr:col>
                    <xdr:colOff>238125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7" name="Check Box 105">
              <controlPr defaultSize="0" autoFill="0" autoLine="0" autoPict="0">
                <anchor moveWithCells="1">
                  <from>
                    <xdr:col>6</xdr:col>
                    <xdr:colOff>28575</xdr:colOff>
                    <xdr:row>44</xdr:row>
                    <xdr:rowOff>161925</xdr:rowOff>
                  </from>
                  <to>
                    <xdr:col>6</xdr:col>
                    <xdr:colOff>238125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48" name="Check Box 106">
              <controlPr defaultSize="0" autoFill="0" autoLine="0" autoPict="0">
                <anchor moveWithCells="1">
                  <from>
                    <xdr:col>6</xdr:col>
                    <xdr:colOff>28575</xdr:colOff>
                    <xdr:row>44</xdr:row>
                    <xdr:rowOff>161925</xdr:rowOff>
                  </from>
                  <to>
                    <xdr:col>6</xdr:col>
                    <xdr:colOff>238125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9" name="Check Box 107">
              <controlPr defaultSize="0" autoFill="0" autoLine="0" autoPict="0">
                <anchor moveWithCells="1">
                  <from>
                    <xdr:col>6</xdr:col>
                    <xdr:colOff>28575</xdr:colOff>
                    <xdr:row>46</xdr:row>
                    <xdr:rowOff>161925</xdr:rowOff>
                  </from>
                  <to>
                    <xdr:col>6</xdr:col>
                    <xdr:colOff>238125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50" name="Check Box 108">
              <controlPr defaultSize="0" autoFill="0" autoLine="0" autoPict="0">
                <anchor moveWithCells="1">
                  <from>
                    <xdr:col>6</xdr:col>
                    <xdr:colOff>28575</xdr:colOff>
                    <xdr:row>46</xdr:row>
                    <xdr:rowOff>161925</xdr:rowOff>
                  </from>
                  <to>
                    <xdr:col>6</xdr:col>
                    <xdr:colOff>238125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1" name="Check Box 109">
              <controlPr defaultSize="0" autoFill="0" autoLine="0" autoPict="0">
                <anchor moveWithCells="1">
                  <from>
                    <xdr:col>6</xdr:col>
                    <xdr:colOff>28575</xdr:colOff>
                    <xdr:row>48</xdr:row>
                    <xdr:rowOff>161925</xdr:rowOff>
                  </from>
                  <to>
                    <xdr:col>6</xdr:col>
                    <xdr:colOff>238125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2" name="Check Box 110">
              <controlPr defaultSize="0" autoFill="0" autoLine="0" autoPict="0">
                <anchor moveWithCells="1">
                  <from>
                    <xdr:col>6</xdr:col>
                    <xdr:colOff>28575</xdr:colOff>
                    <xdr:row>48</xdr:row>
                    <xdr:rowOff>161925</xdr:rowOff>
                  </from>
                  <to>
                    <xdr:col>6</xdr:col>
                    <xdr:colOff>238125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3" name="Check Box 111">
              <controlPr defaultSize="0" autoFill="0" autoLine="0" autoPict="0">
                <anchor moveWithCells="1">
                  <from>
                    <xdr:col>6</xdr:col>
                    <xdr:colOff>28575</xdr:colOff>
                    <xdr:row>50</xdr:row>
                    <xdr:rowOff>161925</xdr:rowOff>
                  </from>
                  <to>
                    <xdr:col>6</xdr:col>
                    <xdr:colOff>238125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4" name="Check Box 112">
              <controlPr defaultSize="0" autoFill="0" autoLine="0" autoPict="0">
                <anchor moveWithCells="1">
                  <from>
                    <xdr:col>6</xdr:col>
                    <xdr:colOff>28575</xdr:colOff>
                    <xdr:row>50</xdr:row>
                    <xdr:rowOff>161925</xdr:rowOff>
                  </from>
                  <to>
                    <xdr:col>6</xdr:col>
                    <xdr:colOff>238125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55" name="Check Box 113">
              <controlPr defaultSize="0" autoFill="0" autoLine="0" autoPict="0">
                <anchor moveWithCells="1">
                  <from>
                    <xdr:col>6</xdr:col>
                    <xdr:colOff>28575</xdr:colOff>
                    <xdr:row>52</xdr:row>
                    <xdr:rowOff>161925</xdr:rowOff>
                  </from>
                  <to>
                    <xdr:col>6</xdr:col>
                    <xdr:colOff>238125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6" name="Check Box 114">
              <controlPr defaultSize="0" autoFill="0" autoLine="0" autoPict="0">
                <anchor moveWithCells="1">
                  <from>
                    <xdr:col>6</xdr:col>
                    <xdr:colOff>28575</xdr:colOff>
                    <xdr:row>52</xdr:row>
                    <xdr:rowOff>161925</xdr:rowOff>
                  </from>
                  <to>
                    <xdr:col>6</xdr:col>
                    <xdr:colOff>238125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7" name="Check Box 115">
              <controlPr defaultSize="0" autoFill="0" autoLine="0" autoPict="0">
                <anchor moveWithCells="1">
                  <from>
                    <xdr:col>6</xdr:col>
                    <xdr:colOff>28575</xdr:colOff>
                    <xdr:row>54</xdr:row>
                    <xdr:rowOff>161925</xdr:rowOff>
                  </from>
                  <to>
                    <xdr:col>6</xdr:col>
                    <xdr:colOff>238125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58" name="Check Box 116">
              <controlPr defaultSize="0" autoFill="0" autoLine="0" autoPict="0">
                <anchor moveWithCells="1">
                  <from>
                    <xdr:col>6</xdr:col>
                    <xdr:colOff>28575</xdr:colOff>
                    <xdr:row>54</xdr:row>
                    <xdr:rowOff>161925</xdr:rowOff>
                  </from>
                  <to>
                    <xdr:col>6</xdr:col>
                    <xdr:colOff>238125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9" name="Check Box 117">
              <controlPr defaultSize="0" autoFill="0" autoLine="0" autoPict="0">
                <anchor moveWithCells="1">
                  <from>
                    <xdr:col>6</xdr:col>
                    <xdr:colOff>28575</xdr:colOff>
                    <xdr:row>56</xdr:row>
                    <xdr:rowOff>161925</xdr:rowOff>
                  </from>
                  <to>
                    <xdr:col>6</xdr:col>
                    <xdr:colOff>238125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0" name="Check Box 118">
              <controlPr defaultSize="0" autoFill="0" autoLine="0" autoPict="0">
                <anchor moveWithCells="1">
                  <from>
                    <xdr:col>6</xdr:col>
                    <xdr:colOff>28575</xdr:colOff>
                    <xdr:row>56</xdr:row>
                    <xdr:rowOff>161925</xdr:rowOff>
                  </from>
                  <to>
                    <xdr:col>6</xdr:col>
                    <xdr:colOff>238125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1" name="Check Box 119">
              <controlPr defaultSize="0" autoFill="0" autoLine="0" autoPict="0">
                <anchor moveWithCells="1">
                  <from>
                    <xdr:col>6</xdr:col>
                    <xdr:colOff>28575</xdr:colOff>
                    <xdr:row>58</xdr:row>
                    <xdr:rowOff>161925</xdr:rowOff>
                  </from>
                  <to>
                    <xdr:col>6</xdr:col>
                    <xdr:colOff>238125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62" name="Check Box 120">
              <controlPr defaultSize="0" autoFill="0" autoLine="0" autoPict="0">
                <anchor moveWithCells="1">
                  <from>
                    <xdr:col>6</xdr:col>
                    <xdr:colOff>28575</xdr:colOff>
                    <xdr:row>58</xdr:row>
                    <xdr:rowOff>161925</xdr:rowOff>
                  </from>
                  <to>
                    <xdr:col>6</xdr:col>
                    <xdr:colOff>238125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3" name="Check Box 121">
              <controlPr defaultSize="0" autoFill="0" autoLine="0" autoPict="0">
                <anchor moveWithCells="1">
                  <from>
                    <xdr:col>6</xdr:col>
                    <xdr:colOff>28575</xdr:colOff>
                    <xdr:row>60</xdr:row>
                    <xdr:rowOff>161925</xdr:rowOff>
                  </from>
                  <to>
                    <xdr:col>6</xdr:col>
                    <xdr:colOff>238125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4" name="Check Box 122">
              <controlPr defaultSize="0" autoFill="0" autoLine="0" autoPict="0">
                <anchor moveWithCells="1">
                  <from>
                    <xdr:col>6</xdr:col>
                    <xdr:colOff>28575</xdr:colOff>
                    <xdr:row>60</xdr:row>
                    <xdr:rowOff>161925</xdr:rowOff>
                  </from>
                  <to>
                    <xdr:col>6</xdr:col>
                    <xdr:colOff>238125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5" name="Check Box 123">
              <controlPr defaultSize="0" autoFill="0" autoLine="0" autoPict="0">
                <anchor moveWithCells="1">
                  <from>
                    <xdr:col>6</xdr:col>
                    <xdr:colOff>28575</xdr:colOff>
                    <xdr:row>62</xdr:row>
                    <xdr:rowOff>161925</xdr:rowOff>
                  </from>
                  <to>
                    <xdr:col>6</xdr:col>
                    <xdr:colOff>238125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6" name="Check Box 124">
              <controlPr defaultSize="0" autoFill="0" autoLine="0" autoPict="0">
                <anchor moveWithCells="1">
                  <from>
                    <xdr:col>6</xdr:col>
                    <xdr:colOff>28575</xdr:colOff>
                    <xdr:row>62</xdr:row>
                    <xdr:rowOff>161925</xdr:rowOff>
                  </from>
                  <to>
                    <xdr:col>6</xdr:col>
                    <xdr:colOff>238125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7" name="Check Box 125">
              <controlPr defaultSize="0" autoFill="0" autoLine="0" autoPict="0">
                <anchor moveWithCells="1">
                  <from>
                    <xdr:col>6</xdr:col>
                    <xdr:colOff>28575</xdr:colOff>
                    <xdr:row>64</xdr:row>
                    <xdr:rowOff>161925</xdr:rowOff>
                  </from>
                  <to>
                    <xdr:col>6</xdr:col>
                    <xdr:colOff>238125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8" name="Check Box 126">
              <controlPr defaultSize="0" autoFill="0" autoLine="0" autoPict="0">
                <anchor moveWithCells="1">
                  <from>
                    <xdr:col>6</xdr:col>
                    <xdr:colOff>28575</xdr:colOff>
                    <xdr:row>64</xdr:row>
                    <xdr:rowOff>161925</xdr:rowOff>
                  </from>
                  <to>
                    <xdr:col>6</xdr:col>
                    <xdr:colOff>238125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9" name="Check Box 127">
              <controlPr defaultSize="0" autoFill="0" autoLine="0" autoPict="0">
                <anchor moveWithCells="1">
                  <from>
                    <xdr:col>6</xdr:col>
                    <xdr:colOff>28575</xdr:colOff>
                    <xdr:row>66</xdr:row>
                    <xdr:rowOff>161925</xdr:rowOff>
                  </from>
                  <to>
                    <xdr:col>6</xdr:col>
                    <xdr:colOff>238125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0" name="Check Box 128">
              <controlPr defaultSize="0" autoFill="0" autoLine="0" autoPict="0">
                <anchor moveWithCells="1">
                  <from>
                    <xdr:col>6</xdr:col>
                    <xdr:colOff>28575</xdr:colOff>
                    <xdr:row>66</xdr:row>
                    <xdr:rowOff>161925</xdr:rowOff>
                  </from>
                  <to>
                    <xdr:col>6</xdr:col>
                    <xdr:colOff>238125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1" name="Check Box 129">
              <controlPr defaultSize="0" autoFill="0" autoLine="0" autoPict="0">
                <anchor moveWithCells="1">
                  <from>
                    <xdr:col>6</xdr:col>
                    <xdr:colOff>28575</xdr:colOff>
                    <xdr:row>68</xdr:row>
                    <xdr:rowOff>161925</xdr:rowOff>
                  </from>
                  <to>
                    <xdr:col>6</xdr:col>
                    <xdr:colOff>238125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2" name="Check Box 130">
              <controlPr defaultSize="0" autoFill="0" autoLine="0" autoPict="0">
                <anchor moveWithCells="1">
                  <from>
                    <xdr:col>6</xdr:col>
                    <xdr:colOff>28575</xdr:colOff>
                    <xdr:row>68</xdr:row>
                    <xdr:rowOff>161925</xdr:rowOff>
                  </from>
                  <to>
                    <xdr:col>6</xdr:col>
                    <xdr:colOff>238125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3" name="Check Box 131">
              <controlPr defaultSize="0" autoFill="0" autoLine="0" autoPict="0">
                <anchor moveWithCells="1">
                  <from>
                    <xdr:col>6</xdr:col>
                    <xdr:colOff>28575</xdr:colOff>
                    <xdr:row>70</xdr:row>
                    <xdr:rowOff>161925</xdr:rowOff>
                  </from>
                  <to>
                    <xdr:col>6</xdr:col>
                    <xdr:colOff>238125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4" name="Check Box 132">
              <controlPr defaultSize="0" autoFill="0" autoLine="0" autoPict="0">
                <anchor moveWithCells="1">
                  <from>
                    <xdr:col>6</xdr:col>
                    <xdr:colOff>28575</xdr:colOff>
                    <xdr:row>70</xdr:row>
                    <xdr:rowOff>161925</xdr:rowOff>
                  </from>
                  <to>
                    <xdr:col>6</xdr:col>
                    <xdr:colOff>238125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5" name="Check Box 133">
              <controlPr defaultSize="0" autoFill="0" autoLine="0" autoPict="0">
                <anchor moveWithCells="1">
                  <from>
                    <xdr:col>6</xdr:col>
                    <xdr:colOff>28575</xdr:colOff>
                    <xdr:row>72</xdr:row>
                    <xdr:rowOff>161925</xdr:rowOff>
                  </from>
                  <to>
                    <xdr:col>6</xdr:col>
                    <xdr:colOff>238125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6" name="Check Box 134">
              <controlPr defaultSize="0" autoFill="0" autoLine="0" autoPict="0">
                <anchor moveWithCells="1">
                  <from>
                    <xdr:col>6</xdr:col>
                    <xdr:colOff>28575</xdr:colOff>
                    <xdr:row>72</xdr:row>
                    <xdr:rowOff>161925</xdr:rowOff>
                  </from>
                  <to>
                    <xdr:col>6</xdr:col>
                    <xdr:colOff>238125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7" name="Check Box 135">
              <controlPr defaultSize="0" autoFill="0" autoLine="0" autoPict="0">
                <anchor moveWithCells="1">
                  <from>
                    <xdr:col>6</xdr:col>
                    <xdr:colOff>28575</xdr:colOff>
                    <xdr:row>74</xdr:row>
                    <xdr:rowOff>161925</xdr:rowOff>
                  </from>
                  <to>
                    <xdr:col>6</xdr:col>
                    <xdr:colOff>238125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78" name="Check Box 199">
              <controlPr defaultSize="0" autoFill="0" autoLine="0" autoPict="0">
                <anchor moveWithCells="1">
                  <from>
                    <xdr:col>6</xdr:col>
                    <xdr:colOff>19050</xdr:colOff>
                    <xdr:row>75</xdr:row>
                    <xdr:rowOff>180975</xdr:rowOff>
                  </from>
                  <to>
                    <xdr:col>6</xdr:col>
                    <xdr:colOff>228600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79" name="Check Box 200">
              <controlPr defaultSize="0" autoFill="0" autoLine="0" autoPict="0">
                <anchor moveWithCells="1">
                  <from>
                    <xdr:col>6</xdr:col>
                    <xdr:colOff>19050</xdr:colOff>
                    <xdr:row>73</xdr:row>
                    <xdr:rowOff>152400</xdr:rowOff>
                  </from>
                  <to>
                    <xdr:col>6</xdr:col>
                    <xdr:colOff>228600</xdr:colOff>
                    <xdr:row>74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80" name="Check Box 201">
              <controlPr defaultSize="0" autoFill="0" autoLine="0" autoPict="0">
                <anchor moveWithCells="1">
                  <from>
                    <xdr:col>6</xdr:col>
                    <xdr:colOff>28575</xdr:colOff>
                    <xdr:row>24</xdr:row>
                    <xdr:rowOff>161925</xdr:rowOff>
                  </from>
                  <to>
                    <xdr:col>6</xdr:col>
                    <xdr:colOff>238125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81" name="Check Box 202">
              <controlPr defaultSize="0" autoFill="0" autoLine="0" autoPict="0">
                <anchor moveWithCells="1">
                  <from>
                    <xdr:col>6</xdr:col>
                    <xdr:colOff>28575</xdr:colOff>
                    <xdr:row>24</xdr:row>
                    <xdr:rowOff>161925</xdr:rowOff>
                  </from>
                  <to>
                    <xdr:col>6</xdr:col>
                    <xdr:colOff>238125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82" name="Check Box 203">
              <controlPr defaultSize="0" autoFill="0" autoLine="0" autoPict="0">
                <anchor moveWithCells="1">
                  <from>
                    <xdr:col>6</xdr:col>
                    <xdr:colOff>28575</xdr:colOff>
                    <xdr:row>26</xdr:row>
                    <xdr:rowOff>161925</xdr:rowOff>
                  </from>
                  <to>
                    <xdr:col>6</xdr:col>
                    <xdr:colOff>238125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83" name="Check Box 204">
              <controlPr defaultSize="0" autoFill="0" autoLine="0" autoPict="0">
                <anchor moveWithCells="1">
                  <from>
                    <xdr:col>6</xdr:col>
                    <xdr:colOff>19050</xdr:colOff>
                    <xdr:row>27</xdr:row>
                    <xdr:rowOff>180975</xdr:rowOff>
                  </from>
                  <to>
                    <xdr:col>6</xdr:col>
                    <xdr:colOff>228600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84" name="Check Box 205">
              <controlPr defaultSize="0" autoFill="0" autoLine="0" autoPict="0">
                <anchor moveWithCells="1">
                  <from>
                    <xdr:col>6</xdr:col>
                    <xdr:colOff>19050</xdr:colOff>
                    <xdr:row>25</xdr:row>
                    <xdr:rowOff>152400</xdr:rowOff>
                  </from>
                  <to>
                    <xdr:col>6</xdr:col>
                    <xdr:colOff>228600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85" name="Check Box 206">
              <controlPr defaultSize="0" autoFill="0" autoLine="0" autoPict="0">
                <anchor moveWithCells="1">
                  <from>
                    <xdr:col>6</xdr:col>
                    <xdr:colOff>28575</xdr:colOff>
                    <xdr:row>28</xdr:row>
                    <xdr:rowOff>161925</xdr:rowOff>
                  </from>
                  <to>
                    <xdr:col>6</xdr:col>
                    <xdr:colOff>238125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86" name="Check Box 207">
              <controlPr defaultSize="0" autoFill="0" autoLine="0" autoPict="0">
                <anchor moveWithCells="1">
                  <from>
                    <xdr:col>6</xdr:col>
                    <xdr:colOff>28575</xdr:colOff>
                    <xdr:row>28</xdr:row>
                    <xdr:rowOff>161925</xdr:rowOff>
                  </from>
                  <to>
                    <xdr:col>6</xdr:col>
                    <xdr:colOff>238125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87" name="Check Box 208">
              <controlPr defaultSize="0" autoFill="0" autoLine="0" autoPict="0">
                <anchor moveWithCells="1">
                  <from>
                    <xdr:col>6</xdr:col>
                    <xdr:colOff>28575</xdr:colOff>
                    <xdr:row>30</xdr:row>
                    <xdr:rowOff>161925</xdr:rowOff>
                  </from>
                  <to>
                    <xdr:col>6</xdr:col>
                    <xdr:colOff>238125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88" name="Check Box 209">
              <controlPr defaultSize="0" autoFill="0" autoLine="0" autoPict="0">
                <anchor moveWithCells="1">
                  <from>
                    <xdr:col>6</xdr:col>
                    <xdr:colOff>19050</xdr:colOff>
                    <xdr:row>31</xdr:row>
                    <xdr:rowOff>180975</xdr:rowOff>
                  </from>
                  <to>
                    <xdr:col>6</xdr:col>
                    <xdr:colOff>228600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89" name="Check Box 210">
              <controlPr defaultSize="0" autoFill="0" autoLine="0" autoPict="0">
                <anchor moveWithCells="1">
                  <from>
                    <xdr:col>6</xdr:col>
                    <xdr:colOff>19050</xdr:colOff>
                    <xdr:row>29</xdr:row>
                    <xdr:rowOff>152400</xdr:rowOff>
                  </from>
                  <to>
                    <xdr:col>6</xdr:col>
                    <xdr:colOff>228600</xdr:colOff>
                    <xdr:row>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90" name="Check Box 211">
              <controlPr defaultSize="0" autoFill="0" autoLine="0" autoPict="0">
                <anchor moveWithCells="1">
                  <from>
                    <xdr:col>6</xdr:col>
                    <xdr:colOff>28575</xdr:colOff>
                    <xdr:row>32</xdr:row>
                    <xdr:rowOff>161925</xdr:rowOff>
                  </from>
                  <to>
                    <xdr:col>6</xdr:col>
                    <xdr:colOff>238125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91" name="Check Box 212">
              <controlPr defaultSize="0" autoFill="0" autoLine="0" autoPict="0">
                <anchor moveWithCells="1">
                  <from>
                    <xdr:col>6</xdr:col>
                    <xdr:colOff>28575</xdr:colOff>
                    <xdr:row>32</xdr:row>
                    <xdr:rowOff>161925</xdr:rowOff>
                  </from>
                  <to>
                    <xdr:col>6</xdr:col>
                    <xdr:colOff>238125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92" name="Check Box 213">
              <controlPr defaultSize="0" autoFill="0" autoLine="0" autoPict="0">
                <anchor moveWithCells="1">
                  <from>
                    <xdr:col>6</xdr:col>
                    <xdr:colOff>28575</xdr:colOff>
                    <xdr:row>34</xdr:row>
                    <xdr:rowOff>161925</xdr:rowOff>
                  </from>
                  <to>
                    <xdr:col>6</xdr:col>
                    <xdr:colOff>238125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93" name="Check Box 214">
              <controlPr defaultSize="0" autoFill="0" autoLine="0" autoPict="0">
                <anchor moveWithCells="1">
                  <from>
                    <xdr:col>6</xdr:col>
                    <xdr:colOff>19050</xdr:colOff>
                    <xdr:row>35</xdr:row>
                    <xdr:rowOff>180975</xdr:rowOff>
                  </from>
                  <to>
                    <xdr:col>6</xdr:col>
                    <xdr:colOff>228600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94" name="Check Box 215">
              <controlPr defaultSize="0" autoFill="0" autoLine="0" autoPict="0">
                <anchor moveWithCells="1">
                  <from>
                    <xdr:col>6</xdr:col>
                    <xdr:colOff>19050</xdr:colOff>
                    <xdr:row>33</xdr:row>
                    <xdr:rowOff>152400</xdr:rowOff>
                  </from>
                  <to>
                    <xdr:col>6</xdr:col>
                    <xdr:colOff>228600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95" name="Check Box 216">
              <controlPr defaultSize="0" autoFill="0" autoLine="0" autoPict="0">
                <anchor moveWithCells="1">
                  <from>
                    <xdr:col>6</xdr:col>
                    <xdr:colOff>28575</xdr:colOff>
                    <xdr:row>36</xdr:row>
                    <xdr:rowOff>161925</xdr:rowOff>
                  </from>
                  <to>
                    <xdr:col>6</xdr:col>
                    <xdr:colOff>238125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96" name="Check Box 217">
              <controlPr defaultSize="0" autoFill="0" autoLine="0" autoPict="0">
                <anchor moveWithCells="1">
                  <from>
                    <xdr:col>6</xdr:col>
                    <xdr:colOff>28575</xdr:colOff>
                    <xdr:row>36</xdr:row>
                    <xdr:rowOff>161925</xdr:rowOff>
                  </from>
                  <to>
                    <xdr:col>6</xdr:col>
                    <xdr:colOff>238125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97" name="Check Box 218">
              <controlPr defaultSize="0" autoFill="0" autoLine="0" autoPict="0">
                <anchor moveWithCells="1">
                  <from>
                    <xdr:col>6</xdr:col>
                    <xdr:colOff>28575</xdr:colOff>
                    <xdr:row>38</xdr:row>
                    <xdr:rowOff>161925</xdr:rowOff>
                  </from>
                  <to>
                    <xdr:col>6</xdr:col>
                    <xdr:colOff>238125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98" name="Check Box 219">
              <controlPr defaultSize="0" autoFill="0" autoLine="0" autoPict="0">
                <anchor moveWithCells="1">
                  <from>
                    <xdr:col>6</xdr:col>
                    <xdr:colOff>19050</xdr:colOff>
                    <xdr:row>39</xdr:row>
                    <xdr:rowOff>180975</xdr:rowOff>
                  </from>
                  <to>
                    <xdr:col>6</xdr:col>
                    <xdr:colOff>228600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99" name="Check Box 220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152400</xdr:rowOff>
                  </from>
                  <to>
                    <xdr:col>6</xdr:col>
                    <xdr:colOff>228600</xdr:colOff>
                    <xdr:row>38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00" name="Check Box 221">
              <controlPr defaultSize="0" autoFill="0" autoLine="0" autoPict="0">
                <anchor moveWithCells="1">
                  <from>
                    <xdr:col>6</xdr:col>
                    <xdr:colOff>28575</xdr:colOff>
                    <xdr:row>40</xdr:row>
                    <xdr:rowOff>161925</xdr:rowOff>
                  </from>
                  <to>
                    <xdr:col>6</xdr:col>
                    <xdr:colOff>238125</xdr:colOff>
                    <xdr:row>42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>
    <pageSetUpPr fitToPage="1"/>
  </sheetPr>
  <dimension ref="A1:BL222"/>
  <sheetViews>
    <sheetView showGridLines="0" showRuler="0" topLeftCell="C88" zoomScale="20" zoomScaleNormal="20" zoomScalePageLayoutView="70" workbookViewId="0">
      <selection activeCell="H67" sqref="H67"/>
    </sheetView>
  </sheetViews>
  <sheetFormatPr defaultRowHeight="30" customHeight="1"/>
  <cols>
    <col min="1" max="1" width="40.7109375" style="32" customWidth="1"/>
    <col min="2" max="2" width="40.7109375" style="11" customWidth="1"/>
    <col min="3" max="3" width="16.85546875" style="11" customWidth="1"/>
    <col min="4" max="4" width="20.5703125" style="11" customWidth="1"/>
    <col min="5" max="5" width="10.7109375" style="11" customWidth="1"/>
    <col min="6" max="6" width="12" style="33" customWidth="1"/>
    <col min="7" max="7" width="10.42578125" style="33" customWidth="1"/>
    <col min="8" max="8" width="9.42578125" style="11" customWidth="1"/>
    <col min="9" max="10" width="4.140625" style="11" customWidth="1"/>
    <col min="11" max="11" width="5.42578125" style="11" customWidth="1"/>
    <col min="12" max="55" width="4.140625" style="11" customWidth="1"/>
    <col min="56" max="56" width="4" style="11" bestFit="1" customWidth="1"/>
    <col min="57" max="57" width="4.7109375" style="11" bestFit="1" customWidth="1"/>
    <col min="58" max="58" width="4.140625" style="11" customWidth="1"/>
    <col min="59" max="59" width="4.42578125" style="11" bestFit="1" customWidth="1"/>
    <col min="60" max="60" width="4.7109375" style="11" bestFit="1" customWidth="1"/>
    <col min="61" max="61" width="4.140625" style="11" customWidth="1"/>
    <col min="62" max="62" width="4.7109375" style="11" bestFit="1" customWidth="1"/>
    <col min="63" max="63" width="4" style="11" bestFit="1" customWidth="1"/>
    <col min="64" max="64" width="4.28515625" style="11" customWidth="1"/>
    <col min="65" max="16384" width="9.140625" style="11"/>
  </cols>
  <sheetData>
    <row r="1" spans="1:64" ht="30" customHeight="1">
      <c r="A1" s="579"/>
      <c r="B1" s="578" t="s">
        <v>661</v>
      </c>
      <c r="C1" s="578"/>
      <c r="D1" s="578"/>
      <c r="E1" s="578"/>
      <c r="F1" s="578"/>
      <c r="G1" s="578"/>
      <c r="I1" s="42" t="s">
        <v>662</v>
      </c>
      <c r="J1" s="41"/>
    </row>
    <row r="2" spans="1:64" ht="39.75" customHeight="1">
      <c r="A2" s="580"/>
      <c r="B2" s="578"/>
      <c r="C2" s="578"/>
      <c r="D2" s="578"/>
      <c r="E2" s="578"/>
      <c r="F2" s="578"/>
      <c r="G2" s="578"/>
      <c r="I2" s="574" t="s">
        <v>663</v>
      </c>
      <c r="J2" s="575"/>
      <c r="K2" s="575"/>
      <c r="L2" s="576"/>
      <c r="N2" s="570" t="s">
        <v>664</v>
      </c>
      <c r="O2" s="570"/>
      <c r="P2" s="570"/>
      <c r="Q2" s="570"/>
      <c r="S2" s="569" t="s">
        <v>665</v>
      </c>
      <c r="T2" s="569"/>
      <c r="U2" s="569"/>
      <c r="V2" s="569"/>
    </row>
    <row r="3" spans="1:64" ht="30" customHeight="1">
      <c r="A3" s="580"/>
      <c r="B3" s="585" t="s">
        <v>666</v>
      </c>
      <c r="C3" s="585"/>
      <c r="D3" s="577" t="s">
        <v>667</v>
      </c>
      <c r="E3" s="577"/>
      <c r="F3" s="583">
        <v>44420</v>
      </c>
      <c r="G3" s="583"/>
      <c r="H3" s="43" t="s">
        <v>668</v>
      </c>
      <c r="I3" s="571">
        <v>1</v>
      </c>
      <c r="J3" s="572"/>
      <c r="K3" s="572"/>
      <c r="L3" s="573"/>
      <c r="N3" s="571">
        <v>2</v>
      </c>
      <c r="O3" s="572"/>
      <c r="P3" s="572"/>
      <c r="Q3" s="573"/>
      <c r="S3" s="571">
        <v>3</v>
      </c>
      <c r="T3" s="572"/>
      <c r="U3" s="572"/>
      <c r="V3" s="573"/>
    </row>
    <row r="4" spans="1:64" customFormat="1" ht="30" customHeight="1">
      <c r="A4" s="580"/>
      <c r="B4" s="585"/>
      <c r="C4" s="585"/>
      <c r="D4" s="582" t="s">
        <v>669</v>
      </c>
      <c r="E4" s="582"/>
      <c r="F4" s="283">
        <v>44</v>
      </c>
      <c r="G4" s="284"/>
      <c r="H4" s="11"/>
      <c r="I4" s="34" t="str">
        <f ca="1">TEXT(I5,"mmmm")</f>
        <v>setembro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124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40"/>
      <c r="BG4" s="34"/>
      <c r="BH4" s="34"/>
      <c r="BI4" s="34"/>
      <c r="BJ4" s="34"/>
      <c r="BK4" s="34"/>
      <c r="BL4" s="34"/>
    </row>
    <row r="5" spans="1:64" ht="15" customHeight="1">
      <c r="A5" s="581"/>
      <c r="B5" s="585"/>
      <c r="C5" s="585"/>
      <c r="D5" s="584"/>
      <c r="E5" s="584"/>
      <c r="F5" s="584"/>
      <c r="G5" s="584"/>
      <c r="I5" s="38">
        <f ca="1">IFERROR(Início_do_projeto+Incremento_de_rolagem,TODAY())</f>
        <v>44464</v>
      </c>
      <c r="J5" s="38">
        <f t="shared" ref="J5:AO5" ca="1" si="0">I5+1</f>
        <v>44465</v>
      </c>
      <c r="K5" s="38">
        <f t="shared" ca="1" si="0"/>
        <v>44466</v>
      </c>
      <c r="L5" s="19">
        <f t="shared" ca="1" si="0"/>
        <v>44467</v>
      </c>
      <c r="M5" s="19">
        <f t="shared" ca="1" si="0"/>
        <v>44468</v>
      </c>
      <c r="N5" s="19">
        <f t="shared" ca="1" si="0"/>
        <v>44469</v>
      </c>
      <c r="O5" s="20">
        <f t="shared" ca="1" si="0"/>
        <v>44470</v>
      </c>
      <c r="P5" s="21">
        <f t="shared" ca="1" si="0"/>
        <v>44471</v>
      </c>
      <c r="Q5" s="19">
        <f t="shared" ca="1" si="0"/>
        <v>44472</v>
      </c>
      <c r="R5" s="19">
        <f t="shared" ca="1" si="0"/>
        <v>44473</v>
      </c>
      <c r="S5" s="19">
        <f t="shared" ca="1" si="0"/>
        <v>44474</v>
      </c>
      <c r="T5" s="19">
        <f t="shared" ca="1" si="0"/>
        <v>44475</v>
      </c>
      <c r="U5" s="19">
        <f t="shared" ca="1" si="0"/>
        <v>44476</v>
      </c>
      <c r="V5" s="20">
        <f t="shared" ca="1" si="0"/>
        <v>44477</v>
      </c>
      <c r="W5" s="21">
        <f t="shared" ca="1" si="0"/>
        <v>44478</v>
      </c>
      <c r="X5" s="19">
        <f t="shared" ca="1" si="0"/>
        <v>44479</v>
      </c>
      <c r="Y5" s="19">
        <f t="shared" ca="1" si="0"/>
        <v>44480</v>
      </c>
      <c r="Z5" s="19">
        <f t="shared" ca="1" si="0"/>
        <v>44481</v>
      </c>
      <c r="AA5" s="19">
        <f t="shared" ca="1" si="0"/>
        <v>44482</v>
      </c>
      <c r="AB5" s="19">
        <f t="shared" ca="1" si="0"/>
        <v>44483</v>
      </c>
      <c r="AC5" s="20">
        <f t="shared" ca="1" si="0"/>
        <v>44484</v>
      </c>
      <c r="AD5" s="21">
        <f t="shared" ca="1" si="0"/>
        <v>44485</v>
      </c>
      <c r="AE5" s="19">
        <f t="shared" ca="1" si="0"/>
        <v>44486</v>
      </c>
      <c r="AF5" s="19">
        <f t="shared" ca="1" si="0"/>
        <v>44487</v>
      </c>
      <c r="AG5" s="19">
        <f t="shared" ca="1" si="0"/>
        <v>44488</v>
      </c>
      <c r="AH5" s="19">
        <f t="shared" ca="1" si="0"/>
        <v>44489</v>
      </c>
      <c r="AI5" s="19">
        <f t="shared" ca="1" si="0"/>
        <v>44490</v>
      </c>
      <c r="AJ5" s="19">
        <f t="shared" ca="1" si="0"/>
        <v>44491</v>
      </c>
      <c r="AK5" s="19">
        <f t="shared" ca="1" si="0"/>
        <v>44492</v>
      </c>
      <c r="AL5" s="19">
        <f t="shared" ca="1" si="0"/>
        <v>44493</v>
      </c>
      <c r="AM5" s="19">
        <f t="shared" ca="1" si="0"/>
        <v>44494</v>
      </c>
      <c r="AN5" s="19">
        <f t="shared" ca="1" si="0"/>
        <v>44495</v>
      </c>
      <c r="AO5" s="19">
        <f t="shared" ca="1" si="0"/>
        <v>44496</v>
      </c>
      <c r="AP5" s="19">
        <f t="shared" ref="AP5:BL5" ca="1" si="1">AO5+1</f>
        <v>44497</v>
      </c>
      <c r="AQ5" s="20">
        <f t="shared" ca="1" si="1"/>
        <v>44498</v>
      </c>
      <c r="AR5" s="21">
        <f t="shared" ca="1" si="1"/>
        <v>44499</v>
      </c>
      <c r="AS5" s="19">
        <f t="shared" ca="1" si="1"/>
        <v>44500</v>
      </c>
      <c r="AT5" s="19">
        <f t="shared" ca="1" si="1"/>
        <v>44501</v>
      </c>
      <c r="AU5" s="19">
        <f t="shared" ca="1" si="1"/>
        <v>44502</v>
      </c>
      <c r="AV5" s="19">
        <f t="shared" ca="1" si="1"/>
        <v>44503</v>
      </c>
      <c r="AW5" s="19">
        <f t="shared" ca="1" si="1"/>
        <v>44504</v>
      </c>
      <c r="AX5" s="20">
        <f t="shared" ca="1" si="1"/>
        <v>44505</v>
      </c>
      <c r="AY5" s="21">
        <f t="shared" ca="1" si="1"/>
        <v>44506</v>
      </c>
      <c r="AZ5" s="19">
        <f t="shared" ca="1" si="1"/>
        <v>44507</v>
      </c>
      <c r="BA5" s="19">
        <f t="shared" ca="1" si="1"/>
        <v>44508</v>
      </c>
      <c r="BB5" s="19">
        <f t="shared" ca="1" si="1"/>
        <v>44509</v>
      </c>
      <c r="BC5" s="19">
        <f t="shared" ca="1" si="1"/>
        <v>44510</v>
      </c>
      <c r="BD5" s="19">
        <f t="shared" ca="1" si="1"/>
        <v>44511</v>
      </c>
      <c r="BE5" s="20">
        <f t="shared" ca="1" si="1"/>
        <v>44512</v>
      </c>
      <c r="BF5" s="21">
        <f t="shared" ca="1" si="1"/>
        <v>44513</v>
      </c>
      <c r="BG5" s="19">
        <f t="shared" ca="1" si="1"/>
        <v>44514</v>
      </c>
      <c r="BH5" s="19">
        <f t="shared" ca="1" si="1"/>
        <v>44515</v>
      </c>
      <c r="BI5" s="19">
        <f t="shared" ca="1" si="1"/>
        <v>44516</v>
      </c>
      <c r="BJ5" s="19">
        <f t="shared" ca="1" si="1"/>
        <v>44517</v>
      </c>
      <c r="BK5" s="19">
        <f t="shared" ca="1" si="1"/>
        <v>44518</v>
      </c>
      <c r="BL5" s="20">
        <f t="shared" ca="1" si="1"/>
        <v>44519</v>
      </c>
    </row>
    <row r="6" spans="1:64" ht="25.15" hidden="1" customHeight="1">
      <c r="A6" s="316" t="s">
        <v>670</v>
      </c>
      <c r="B6" s="274"/>
      <c r="C6" s="274"/>
      <c r="D6" s="274"/>
      <c r="E6" s="274"/>
      <c r="F6" s="274"/>
      <c r="G6" s="279"/>
      <c r="I6" s="35"/>
      <c r="J6" s="35"/>
      <c r="K6" s="35"/>
      <c r="L6" s="22"/>
      <c r="M6" s="22"/>
      <c r="N6" s="22"/>
      <c r="O6" s="23"/>
      <c r="P6" s="24"/>
      <c r="Q6" s="22"/>
      <c r="R6" s="22"/>
      <c r="S6" s="22"/>
      <c r="T6" s="22"/>
      <c r="U6" s="22"/>
      <c r="V6" s="23"/>
      <c r="W6" s="24"/>
      <c r="X6" s="22"/>
      <c r="Y6" s="22"/>
      <c r="Z6" s="22"/>
      <c r="AA6" s="22"/>
      <c r="AB6" s="22"/>
      <c r="AC6" s="23"/>
      <c r="AD6" s="24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3"/>
      <c r="AR6" s="24"/>
      <c r="AS6" s="22"/>
      <c r="AT6" s="22"/>
      <c r="AU6" s="22"/>
      <c r="AV6" s="22"/>
      <c r="AW6" s="22"/>
      <c r="AX6" s="23"/>
      <c r="AY6" s="24"/>
      <c r="AZ6" s="22"/>
      <c r="BA6" s="22"/>
      <c r="BB6" s="22"/>
      <c r="BC6" s="22"/>
      <c r="BD6" s="22"/>
      <c r="BE6" s="23"/>
      <c r="BF6" s="24"/>
      <c r="BG6" s="22"/>
      <c r="BH6" s="22"/>
      <c r="BI6" s="22"/>
      <c r="BJ6" s="22"/>
      <c r="BK6" s="22"/>
      <c r="BL6" s="23"/>
    </row>
    <row r="7" spans="1:64" ht="18" customHeight="1">
      <c r="A7" s="317" t="s">
        <v>671</v>
      </c>
      <c r="B7" s="285" t="s">
        <v>672</v>
      </c>
      <c r="C7" s="285" t="s">
        <v>673</v>
      </c>
      <c r="D7" s="285" t="s">
        <v>674</v>
      </c>
      <c r="E7" s="285" t="s">
        <v>675</v>
      </c>
      <c r="F7" s="285" t="s">
        <v>676</v>
      </c>
      <c r="G7" s="285" t="s">
        <v>677</v>
      </c>
      <c r="I7" s="36" t="str">
        <f t="shared" ref="I7:AN7" ca="1" si="2">LEFT(TEXT(I5,"ddd"),3)</f>
        <v>sáb</v>
      </c>
      <c r="J7" s="36" t="str">
        <f t="shared" ca="1" si="2"/>
        <v>dom</v>
      </c>
      <c r="K7" s="36" t="str">
        <f t="shared" ca="1" si="2"/>
        <v>seg</v>
      </c>
      <c r="L7" s="25" t="str">
        <f t="shared" ca="1" si="2"/>
        <v>ter</v>
      </c>
      <c r="M7" s="26" t="str">
        <f t="shared" ca="1" si="2"/>
        <v>qua</v>
      </c>
      <c r="N7" s="26" t="str">
        <f t="shared" ca="1" si="2"/>
        <v>qui</v>
      </c>
      <c r="O7" s="26" t="str">
        <f t="shared" ca="1" si="2"/>
        <v>sex</v>
      </c>
      <c r="P7" s="26" t="str">
        <f t="shared" ca="1" si="2"/>
        <v>sáb</v>
      </c>
      <c r="Q7" s="26" t="str">
        <f t="shared" ca="1" si="2"/>
        <v>dom</v>
      </c>
      <c r="R7" s="26" t="str">
        <f t="shared" ca="1" si="2"/>
        <v>seg</v>
      </c>
      <c r="S7" s="26" t="str">
        <f t="shared" ca="1" si="2"/>
        <v>ter</v>
      </c>
      <c r="T7" s="26" t="str">
        <f t="shared" ca="1" si="2"/>
        <v>qua</v>
      </c>
      <c r="U7" s="26" t="str">
        <f t="shared" ca="1" si="2"/>
        <v>qui</v>
      </c>
      <c r="V7" s="26" t="str">
        <f t="shared" ca="1" si="2"/>
        <v>sex</v>
      </c>
      <c r="W7" s="26" t="str">
        <f t="shared" ca="1" si="2"/>
        <v>sáb</v>
      </c>
      <c r="X7" s="26" t="str">
        <f t="shared" ca="1" si="2"/>
        <v>dom</v>
      </c>
      <c r="Y7" s="26" t="str">
        <f t="shared" ca="1" si="2"/>
        <v>seg</v>
      </c>
      <c r="Z7" s="26" t="str">
        <f t="shared" ca="1" si="2"/>
        <v>ter</v>
      </c>
      <c r="AA7" s="26" t="str">
        <f t="shared" ca="1" si="2"/>
        <v>qua</v>
      </c>
      <c r="AB7" s="26" t="str">
        <f t="shared" ca="1" si="2"/>
        <v>qui</v>
      </c>
      <c r="AC7" s="26" t="str">
        <f t="shared" ca="1" si="2"/>
        <v>sex</v>
      </c>
      <c r="AD7" s="26" t="str">
        <f t="shared" ca="1" si="2"/>
        <v>sáb</v>
      </c>
      <c r="AE7" s="26" t="str">
        <f t="shared" ca="1" si="2"/>
        <v>dom</v>
      </c>
      <c r="AF7" s="26" t="str">
        <f t="shared" ca="1" si="2"/>
        <v>seg</v>
      </c>
      <c r="AG7" s="26" t="str">
        <f t="shared" ca="1" si="2"/>
        <v>ter</v>
      </c>
      <c r="AH7" s="26" t="str">
        <f t="shared" ca="1" si="2"/>
        <v>qua</v>
      </c>
      <c r="AI7" s="26" t="str">
        <f t="shared" ca="1" si="2"/>
        <v>qui</v>
      </c>
      <c r="AJ7" s="122" t="str">
        <f t="shared" ca="1" si="2"/>
        <v>sex</v>
      </c>
      <c r="AK7" s="125" t="str">
        <f t="shared" ca="1" si="2"/>
        <v>sáb</v>
      </c>
      <c r="AL7" s="25" t="str">
        <f t="shared" ca="1" si="2"/>
        <v>dom</v>
      </c>
      <c r="AM7" s="26" t="str">
        <f t="shared" ca="1" si="2"/>
        <v>seg</v>
      </c>
      <c r="AN7" s="26" t="str">
        <f t="shared" ca="1" si="2"/>
        <v>ter</v>
      </c>
      <c r="AO7" s="26" t="str">
        <f t="shared" ref="AO7:BL7" ca="1" si="3">LEFT(TEXT(AO5,"ddd"),3)</f>
        <v>qua</v>
      </c>
      <c r="AP7" s="26" t="str">
        <f t="shared" ca="1" si="3"/>
        <v>qui</v>
      </c>
      <c r="AQ7" s="26" t="str">
        <f t="shared" ca="1" si="3"/>
        <v>sex</v>
      </c>
      <c r="AR7" s="26" t="str">
        <f t="shared" ca="1" si="3"/>
        <v>sáb</v>
      </c>
      <c r="AS7" s="26" t="str">
        <f t="shared" ca="1" si="3"/>
        <v>dom</v>
      </c>
      <c r="AT7" s="26" t="str">
        <f t="shared" ca="1" si="3"/>
        <v>seg</v>
      </c>
      <c r="AU7" s="26" t="str">
        <f t="shared" ca="1" si="3"/>
        <v>ter</v>
      </c>
      <c r="AV7" s="26" t="str">
        <f t="shared" ca="1" si="3"/>
        <v>qua</v>
      </c>
      <c r="AW7" s="26" t="str">
        <f t="shared" ca="1" si="3"/>
        <v>qui</v>
      </c>
      <c r="AX7" s="26" t="str">
        <f t="shared" ca="1" si="3"/>
        <v>sex</v>
      </c>
      <c r="AY7" s="26" t="str">
        <f t="shared" ca="1" si="3"/>
        <v>sáb</v>
      </c>
      <c r="AZ7" s="26" t="str">
        <f t="shared" ca="1" si="3"/>
        <v>dom</v>
      </c>
      <c r="BA7" s="26" t="str">
        <f t="shared" ca="1" si="3"/>
        <v>seg</v>
      </c>
      <c r="BB7" s="26" t="str">
        <f t="shared" ca="1" si="3"/>
        <v>ter</v>
      </c>
      <c r="BC7" s="26" t="str">
        <f t="shared" ca="1" si="3"/>
        <v>qua</v>
      </c>
      <c r="BD7" s="26" t="str">
        <f t="shared" ca="1" si="3"/>
        <v>qui</v>
      </c>
      <c r="BE7" s="26" t="str">
        <f t="shared" ca="1" si="3"/>
        <v>sex</v>
      </c>
      <c r="BF7" s="26" t="str">
        <f t="shared" ca="1" si="3"/>
        <v>sáb</v>
      </c>
      <c r="BG7" s="26" t="str">
        <f t="shared" ca="1" si="3"/>
        <v>dom</v>
      </c>
      <c r="BH7" s="26" t="str">
        <f t="shared" ca="1" si="3"/>
        <v>seg</v>
      </c>
      <c r="BI7" s="26" t="str">
        <f t="shared" ca="1" si="3"/>
        <v>ter</v>
      </c>
      <c r="BJ7" s="26" t="str">
        <f t="shared" ca="1" si="3"/>
        <v>qua</v>
      </c>
      <c r="BK7" s="26" t="str">
        <f t="shared" ca="1" si="3"/>
        <v>qui</v>
      </c>
      <c r="BL7" s="26" t="str">
        <f t="shared" ca="1" si="3"/>
        <v>sex</v>
      </c>
    </row>
    <row r="8" spans="1:64" ht="69.75" hidden="1" customHeight="1">
      <c r="A8" s="318" t="s">
        <v>678</v>
      </c>
      <c r="B8" s="286"/>
      <c r="C8" s="287"/>
      <c r="D8" s="286"/>
      <c r="E8" s="287"/>
      <c r="F8" s="288"/>
      <c r="G8" s="289"/>
      <c r="I8" s="37"/>
      <c r="J8" s="37"/>
      <c r="K8" s="37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123"/>
      <c r="AK8" s="13"/>
      <c r="AL8" s="27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spans="1:64" s="13" customFormat="1" ht="60" customHeight="1">
      <c r="A9" s="319" t="s">
        <v>26</v>
      </c>
      <c r="B9" s="280" t="s">
        <v>29</v>
      </c>
      <c r="C9" s="280" t="s">
        <v>665</v>
      </c>
      <c r="D9" s="280" t="str">
        <f>'Dicionario EAP2'!G16</f>
        <v>equipe</v>
      </c>
      <c r="E9" s="281">
        <f>'Dicionario EAP2'!T16</f>
        <v>1</v>
      </c>
      <c r="F9" s="282">
        <f>'Dicionario EAP2'!I16</f>
        <v>44421</v>
      </c>
      <c r="G9" s="280">
        <v>5</v>
      </c>
      <c r="H9" s="29"/>
      <c r="I9" s="10" t="str">
        <f t="shared" ref="I9:R10" ca="1" si="4">IF(AND($C9="Objetivo",I$5&gt;=$F9,I$5&lt;=$F9+$G9-1),2,IF(AND($C9="Marco",I$5&gt;=$F9,I$5&lt;=$F9+$G9-1),1,""))</f>
        <v/>
      </c>
      <c r="J9" s="10" t="str">
        <f t="shared" ca="1" si="4"/>
        <v/>
      </c>
      <c r="K9" s="10" t="str">
        <f t="shared" ca="1" si="4"/>
        <v/>
      </c>
      <c r="L9" s="10" t="str">
        <f t="shared" ca="1" si="4"/>
        <v/>
      </c>
      <c r="M9" s="10" t="str">
        <f t="shared" ca="1" si="4"/>
        <v/>
      </c>
      <c r="N9" s="10" t="str">
        <f t="shared" ca="1" si="4"/>
        <v/>
      </c>
      <c r="O9" s="10" t="str">
        <f t="shared" ca="1" si="4"/>
        <v/>
      </c>
      <c r="P9" s="10" t="str">
        <f t="shared" ca="1" si="4"/>
        <v/>
      </c>
      <c r="Q9" s="10" t="str">
        <f t="shared" ca="1" si="4"/>
        <v/>
      </c>
      <c r="R9" s="10" t="str">
        <f t="shared" ca="1" si="4"/>
        <v/>
      </c>
      <c r="S9" s="10" t="str">
        <f t="shared" ref="S9:AB10" ca="1" si="5">IF(AND($C9="Objetivo",S$5&gt;=$F9,S$5&lt;=$F9+$G9-1),2,IF(AND($C9="Marco",S$5&gt;=$F9,S$5&lt;=$F9+$G9-1),1,""))</f>
        <v/>
      </c>
      <c r="T9" s="10" t="str">
        <f t="shared" ca="1" si="5"/>
        <v/>
      </c>
      <c r="U9" s="10" t="str">
        <f t="shared" ca="1" si="5"/>
        <v/>
      </c>
      <c r="V9" s="10" t="str">
        <f t="shared" ca="1" si="5"/>
        <v/>
      </c>
      <c r="W9" s="10" t="str">
        <f t="shared" ca="1" si="5"/>
        <v/>
      </c>
      <c r="X9" s="10" t="str">
        <f t="shared" ca="1" si="5"/>
        <v/>
      </c>
      <c r="Y9" s="10" t="str">
        <f t="shared" ca="1" si="5"/>
        <v/>
      </c>
      <c r="Z9" s="10" t="str">
        <f t="shared" ca="1" si="5"/>
        <v/>
      </c>
      <c r="AA9" s="10" t="str">
        <f t="shared" ca="1" si="5"/>
        <v/>
      </c>
      <c r="AB9" s="10" t="str">
        <f t="shared" ca="1" si="5"/>
        <v/>
      </c>
      <c r="AC9" s="10" t="str">
        <f t="shared" ref="AC9:AL10" ca="1" si="6">IF(AND($C9="Objetivo",AC$5&gt;=$F9,AC$5&lt;=$F9+$G9-1),2,IF(AND($C9="Marco",AC$5&gt;=$F9,AC$5&lt;=$F9+$G9-1),1,""))</f>
        <v/>
      </c>
      <c r="AD9" s="10" t="str">
        <f t="shared" ca="1" si="6"/>
        <v/>
      </c>
      <c r="AE9" s="10" t="str">
        <f t="shared" ca="1" si="6"/>
        <v/>
      </c>
      <c r="AF9" s="10" t="str">
        <f t="shared" ca="1" si="6"/>
        <v/>
      </c>
      <c r="AG9" s="10" t="str">
        <f t="shared" ca="1" si="6"/>
        <v/>
      </c>
      <c r="AH9" s="10" t="str">
        <f t="shared" ca="1" si="6"/>
        <v/>
      </c>
      <c r="AI9" s="10" t="str">
        <f t="shared" ca="1" si="6"/>
        <v/>
      </c>
      <c r="AJ9" s="10" t="str">
        <f t="shared" ca="1" si="6"/>
        <v/>
      </c>
      <c r="AK9" s="10" t="str">
        <f t="shared" ca="1" si="6"/>
        <v/>
      </c>
      <c r="AL9" s="10" t="str">
        <f t="shared" ca="1" si="6"/>
        <v/>
      </c>
      <c r="AM9" s="10" t="str">
        <f t="shared" ref="AM9:AV10" ca="1" si="7">IF(AND($C9="Objetivo",AM$5&gt;=$F9,AM$5&lt;=$F9+$G9-1),2,IF(AND($C9="Marco",AM$5&gt;=$F9,AM$5&lt;=$F9+$G9-1),1,""))</f>
        <v/>
      </c>
      <c r="AN9" s="10" t="str">
        <f t="shared" ca="1" si="7"/>
        <v/>
      </c>
      <c r="AO9" s="10" t="str">
        <f t="shared" ca="1" si="7"/>
        <v/>
      </c>
      <c r="AP9" s="10" t="str">
        <f t="shared" ca="1" si="7"/>
        <v/>
      </c>
      <c r="AQ9" s="10" t="str">
        <f t="shared" ca="1" si="7"/>
        <v/>
      </c>
      <c r="AR9" s="10" t="str">
        <f t="shared" ca="1" si="7"/>
        <v/>
      </c>
      <c r="AS9" s="10" t="str">
        <f t="shared" ca="1" si="7"/>
        <v/>
      </c>
      <c r="AT9" s="10" t="str">
        <f t="shared" ca="1" si="7"/>
        <v/>
      </c>
      <c r="AU9" s="10" t="str">
        <f t="shared" ca="1" si="7"/>
        <v/>
      </c>
      <c r="AV9" s="10" t="str">
        <f t="shared" ca="1" si="7"/>
        <v/>
      </c>
      <c r="AW9" s="10" t="str">
        <f t="shared" ref="AW9:BF10" ca="1" si="8">IF(AND($C9="Objetivo",AW$5&gt;=$F9,AW$5&lt;=$F9+$G9-1),2,IF(AND($C9="Marco",AW$5&gt;=$F9,AW$5&lt;=$F9+$G9-1),1,""))</f>
        <v/>
      </c>
      <c r="AX9" s="10" t="str">
        <f t="shared" ca="1" si="8"/>
        <v/>
      </c>
      <c r="AY9" s="10" t="str">
        <f t="shared" ca="1" si="8"/>
        <v/>
      </c>
      <c r="AZ9" s="10" t="str">
        <f t="shared" ca="1" si="8"/>
        <v/>
      </c>
      <c r="BA9" s="10" t="str">
        <f t="shared" ca="1" si="8"/>
        <v/>
      </c>
      <c r="BB9" s="10" t="str">
        <f t="shared" ca="1" si="8"/>
        <v/>
      </c>
      <c r="BC9" s="10" t="str">
        <f t="shared" ca="1" si="8"/>
        <v/>
      </c>
      <c r="BD9" s="10" t="str">
        <f t="shared" ca="1" si="8"/>
        <v/>
      </c>
      <c r="BE9" s="10" t="str">
        <f t="shared" ca="1" si="8"/>
        <v/>
      </c>
      <c r="BF9" s="10" t="str">
        <f t="shared" ca="1" si="8"/>
        <v/>
      </c>
      <c r="BG9" s="10" t="str">
        <f t="shared" ref="BG9:BL10" ca="1" si="9">IF(AND($C9="Objetivo",BG$5&gt;=$F9,BG$5&lt;=$F9+$G9-1),2,IF(AND($C9="Marco",BG$5&gt;=$F9,BG$5&lt;=$F9+$G9-1),1,""))</f>
        <v/>
      </c>
      <c r="BH9" s="10" t="str">
        <f t="shared" ca="1" si="9"/>
        <v/>
      </c>
      <c r="BI9" s="10" t="str">
        <f t="shared" ca="1" si="9"/>
        <v/>
      </c>
      <c r="BJ9" s="10" t="str">
        <f t="shared" ca="1" si="9"/>
        <v/>
      </c>
      <c r="BK9" s="10" t="str">
        <f t="shared" ca="1" si="9"/>
        <v/>
      </c>
      <c r="BL9" s="10" t="str">
        <f t="shared" ca="1" si="9"/>
        <v/>
      </c>
    </row>
    <row r="10" spans="1:64" s="13" customFormat="1" ht="60" customHeight="1">
      <c r="A10" s="319" t="s">
        <v>36</v>
      </c>
      <c r="B10" s="280" t="s">
        <v>37</v>
      </c>
      <c r="C10" s="280" t="s">
        <v>664</v>
      </c>
      <c r="D10" s="280" t="str">
        <f>'Dicionario EAP2'!G17</f>
        <v>Todos os integrantes do grupo</v>
      </c>
      <c r="E10" s="281">
        <f>'Dicionario EAP2'!T17</f>
        <v>1</v>
      </c>
      <c r="F10" s="282">
        <f>'Dicionario EAP2'!I17</f>
        <v>44425</v>
      </c>
      <c r="G10" s="280">
        <v>4</v>
      </c>
      <c r="H10" s="29"/>
      <c r="I10" s="10" t="str">
        <f t="shared" ca="1" si="4"/>
        <v/>
      </c>
      <c r="J10" s="10" t="str">
        <f t="shared" ca="1" si="4"/>
        <v/>
      </c>
      <c r="K10" s="10" t="str">
        <f t="shared" ca="1" si="4"/>
        <v/>
      </c>
      <c r="L10" s="10" t="str">
        <f t="shared" ca="1" si="4"/>
        <v/>
      </c>
      <c r="M10" s="10" t="str">
        <f t="shared" ca="1" si="4"/>
        <v/>
      </c>
      <c r="N10" s="10" t="str">
        <f t="shared" ca="1" si="4"/>
        <v/>
      </c>
      <c r="O10" s="10" t="str">
        <f t="shared" ca="1" si="4"/>
        <v/>
      </c>
      <c r="P10" s="10" t="str">
        <f t="shared" ca="1" si="4"/>
        <v/>
      </c>
      <c r="Q10" s="10" t="str">
        <f t="shared" ca="1" si="4"/>
        <v/>
      </c>
      <c r="R10" s="10" t="str">
        <f t="shared" ca="1" si="4"/>
        <v/>
      </c>
      <c r="S10" s="10" t="str">
        <f t="shared" ca="1" si="5"/>
        <v/>
      </c>
      <c r="T10" s="10" t="str">
        <f t="shared" ca="1" si="5"/>
        <v/>
      </c>
      <c r="U10" s="10" t="str">
        <f t="shared" ca="1" si="5"/>
        <v/>
      </c>
      <c r="V10" s="10" t="str">
        <f t="shared" ca="1" si="5"/>
        <v/>
      </c>
      <c r="W10" s="10" t="str">
        <f t="shared" ca="1" si="5"/>
        <v/>
      </c>
      <c r="X10" s="10" t="str">
        <f t="shared" ca="1" si="5"/>
        <v/>
      </c>
      <c r="Y10" s="10" t="str">
        <f t="shared" ca="1" si="5"/>
        <v/>
      </c>
      <c r="Z10" s="10" t="str">
        <f t="shared" ca="1" si="5"/>
        <v/>
      </c>
      <c r="AA10" s="10" t="str">
        <f t="shared" ca="1" si="5"/>
        <v/>
      </c>
      <c r="AB10" s="10" t="str">
        <f t="shared" ca="1" si="5"/>
        <v/>
      </c>
      <c r="AC10" s="10" t="str">
        <f t="shared" ca="1" si="6"/>
        <v/>
      </c>
      <c r="AD10" s="10" t="str">
        <f t="shared" ca="1" si="6"/>
        <v/>
      </c>
      <c r="AE10" s="10" t="str">
        <f t="shared" ca="1" si="6"/>
        <v/>
      </c>
      <c r="AF10" s="10" t="str">
        <f t="shared" ca="1" si="6"/>
        <v/>
      </c>
      <c r="AG10" s="10" t="str">
        <f t="shared" ca="1" si="6"/>
        <v/>
      </c>
      <c r="AH10" s="10" t="str">
        <f t="shared" ca="1" si="6"/>
        <v/>
      </c>
      <c r="AI10" s="10" t="str">
        <f t="shared" ca="1" si="6"/>
        <v/>
      </c>
      <c r="AJ10" s="10" t="str">
        <f t="shared" ca="1" si="6"/>
        <v/>
      </c>
      <c r="AK10" s="10" t="str">
        <f t="shared" ca="1" si="6"/>
        <v/>
      </c>
      <c r="AL10" s="10" t="str">
        <f t="shared" ca="1" si="6"/>
        <v/>
      </c>
      <c r="AM10" s="10" t="str">
        <f t="shared" ca="1" si="7"/>
        <v/>
      </c>
      <c r="AN10" s="10" t="str">
        <f t="shared" ca="1" si="7"/>
        <v/>
      </c>
      <c r="AO10" s="10" t="str">
        <f t="shared" ca="1" si="7"/>
        <v/>
      </c>
      <c r="AP10" s="10" t="str">
        <f t="shared" ca="1" si="7"/>
        <v/>
      </c>
      <c r="AQ10" s="10" t="str">
        <f t="shared" ca="1" si="7"/>
        <v/>
      </c>
      <c r="AR10" s="10" t="str">
        <f t="shared" ca="1" si="7"/>
        <v/>
      </c>
      <c r="AS10" s="10" t="str">
        <f t="shared" ca="1" si="7"/>
        <v/>
      </c>
      <c r="AT10" s="10" t="str">
        <f t="shared" ca="1" si="7"/>
        <v/>
      </c>
      <c r="AU10" s="10" t="str">
        <f t="shared" ca="1" si="7"/>
        <v/>
      </c>
      <c r="AV10" s="10" t="str">
        <f t="shared" ca="1" si="7"/>
        <v/>
      </c>
      <c r="AW10" s="10" t="str">
        <f t="shared" ca="1" si="8"/>
        <v/>
      </c>
      <c r="AX10" s="10" t="str">
        <f t="shared" ca="1" si="8"/>
        <v/>
      </c>
      <c r="AY10" s="10" t="str">
        <f t="shared" ca="1" si="8"/>
        <v/>
      </c>
      <c r="AZ10" s="10" t="str">
        <f t="shared" ca="1" si="8"/>
        <v/>
      </c>
      <c r="BA10" s="10" t="str">
        <f t="shared" ca="1" si="8"/>
        <v/>
      </c>
      <c r="BB10" s="10" t="str">
        <f t="shared" ca="1" si="8"/>
        <v/>
      </c>
      <c r="BC10" s="10" t="str">
        <f t="shared" ca="1" si="8"/>
        <v/>
      </c>
      <c r="BD10" s="10" t="str">
        <f t="shared" ca="1" si="8"/>
        <v/>
      </c>
      <c r="BE10" s="10" t="str">
        <f t="shared" ca="1" si="8"/>
        <v/>
      </c>
      <c r="BF10" s="10" t="str">
        <f t="shared" ca="1" si="8"/>
        <v/>
      </c>
      <c r="BG10" s="10" t="str">
        <f t="shared" ca="1" si="9"/>
        <v/>
      </c>
      <c r="BH10" s="10" t="str">
        <f t="shared" ca="1" si="9"/>
        <v/>
      </c>
      <c r="BI10" s="10" t="str">
        <f t="shared" ca="1" si="9"/>
        <v/>
      </c>
      <c r="BJ10" s="10" t="str">
        <f t="shared" ca="1" si="9"/>
        <v/>
      </c>
      <c r="BK10" s="10" t="str">
        <f t="shared" ca="1" si="9"/>
        <v/>
      </c>
      <c r="BL10" s="10" t="str">
        <f t="shared" ca="1" si="9"/>
        <v/>
      </c>
    </row>
    <row r="11" spans="1:64" s="13" customFormat="1" ht="60" customHeight="1">
      <c r="A11" s="319" t="s">
        <v>41</v>
      </c>
      <c r="B11" s="280" t="s">
        <v>43</v>
      </c>
      <c r="C11" s="280" t="s">
        <v>664</v>
      </c>
      <c r="D11" s="280" t="str">
        <f>'Dicionario EAP2'!G18</f>
        <v>Todos os integrantes do grupo</v>
      </c>
      <c r="E11" s="281">
        <f>'Dicionario EAP2'!T18</f>
        <v>1</v>
      </c>
      <c r="F11" s="282">
        <f>'Dicionario EAP2'!I18</f>
        <v>44421</v>
      </c>
      <c r="G11" s="280">
        <v>5</v>
      </c>
      <c r="H11" s="2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 s="13" customFormat="1" ht="60" customHeight="1">
      <c r="A12" s="319" t="s">
        <v>47</v>
      </c>
      <c r="B12" s="280" t="s">
        <v>48</v>
      </c>
      <c r="C12" s="280" t="s">
        <v>664</v>
      </c>
      <c r="D12" s="280" t="str">
        <f>'Dicionario EAP2'!G19</f>
        <v>Todos os integrantes do grupo</v>
      </c>
      <c r="E12" s="281">
        <f>'Dicionario EAP2'!T19</f>
        <v>1</v>
      </c>
      <c r="F12" s="282">
        <f>'Dicionario EAP2'!I19</f>
        <v>44427</v>
      </c>
      <c r="G12" s="280">
        <v>1</v>
      </c>
      <c r="H12" s="2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 s="13" customFormat="1" ht="60" customHeight="1">
      <c r="A13" s="319" t="s">
        <v>53</v>
      </c>
      <c r="B13" s="280" t="s">
        <v>55</v>
      </c>
      <c r="C13" s="280" t="s">
        <v>663</v>
      </c>
      <c r="D13" s="280" t="str">
        <f>'Dicionario EAP2'!G20</f>
        <v>Todos os integrantes do grupo</v>
      </c>
      <c r="E13" s="281">
        <f>'Dicionario EAP2'!T20</f>
        <v>1</v>
      </c>
      <c r="F13" s="282">
        <f>'Dicionario EAP2'!I20</f>
        <v>44432</v>
      </c>
      <c r="G13" s="280">
        <v>2</v>
      </c>
      <c r="H13" s="29"/>
      <c r="I13" s="10" t="str">
        <f t="shared" ref="I13:R15" ca="1" si="10">IF(AND($C13="Objetivo",I$5&gt;=$F13,I$5&lt;=$F13+$G13-1),2,IF(AND($C13="Marco",I$5&gt;=$F13,I$5&lt;=$F13+$G13-1),1,""))</f>
        <v/>
      </c>
      <c r="J13" s="10" t="str">
        <f t="shared" ca="1" si="10"/>
        <v/>
      </c>
      <c r="K13" s="10" t="str">
        <f t="shared" ca="1" si="10"/>
        <v/>
      </c>
      <c r="L13" s="10" t="str">
        <f t="shared" ca="1" si="10"/>
        <v/>
      </c>
      <c r="M13" s="10" t="str">
        <f t="shared" ca="1" si="10"/>
        <v/>
      </c>
      <c r="N13" s="10" t="str">
        <f t="shared" ca="1" si="10"/>
        <v/>
      </c>
      <c r="O13" s="10" t="str">
        <f t="shared" ca="1" si="10"/>
        <v/>
      </c>
      <c r="P13" s="10" t="str">
        <f t="shared" ca="1" si="10"/>
        <v/>
      </c>
      <c r="Q13" s="10" t="str">
        <f t="shared" ca="1" si="10"/>
        <v/>
      </c>
      <c r="R13" s="10" t="str">
        <f t="shared" ca="1" si="10"/>
        <v/>
      </c>
      <c r="S13" s="10" t="str">
        <f t="shared" ref="S13:AB15" ca="1" si="11">IF(AND($C13="Objetivo",S$5&gt;=$F13,S$5&lt;=$F13+$G13-1),2,IF(AND($C13="Marco",S$5&gt;=$F13,S$5&lt;=$F13+$G13-1),1,""))</f>
        <v/>
      </c>
      <c r="T13" s="10" t="str">
        <f t="shared" ca="1" si="11"/>
        <v/>
      </c>
      <c r="U13" s="10" t="str">
        <f t="shared" ca="1" si="11"/>
        <v/>
      </c>
      <c r="V13" s="10" t="str">
        <f t="shared" ca="1" si="11"/>
        <v/>
      </c>
      <c r="W13" s="10" t="str">
        <f t="shared" ca="1" si="11"/>
        <v/>
      </c>
      <c r="X13" s="10" t="str">
        <f t="shared" ca="1" si="11"/>
        <v/>
      </c>
      <c r="Y13" s="10" t="str">
        <f t="shared" ca="1" si="11"/>
        <v/>
      </c>
      <c r="Z13" s="10" t="str">
        <f t="shared" ca="1" si="11"/>
        <v/>
      </c>
      <c r="AA13" s="10" t="str">
        <f t="shared" ca="1" si="11"/>
        <v/>
      </c>
      <c r="AB13" s="10" t="str">
        <f t="shared" ca="1" si="11"/>
        <v/>
      </c>
      <c r="AC13" s="10" t="str">
        <f t="shared" ref="AC13:AL15" ca="1" si="12">IF(AND($C13="Objetivo",AC$5&gt;=$F13,AC$5&lt;=$F13+$G13-1),2,IF(AND($C13="Marco",AC$5&gt;=$F13,AC$5&lt;=$F13+$G13-1),1,""))</f>
        <v/>
      </c>
      <c r="AD13" s="10" t="str">
        <f t="shared" ca="1" si="12"/>
        <v/>
      </c>
      <c r="AE13" s="10" t="str">
        <f t="shared" ca="1" si="12"/>
        <v/>
      </c>
      <c r="AF13" s="10" t="str">
        <f t="shared" ca="1" si="12"/>
        <v/>
      </c>
      <c r="AG13" s="10" t="str">
        <f t="shared" ca="1" si="12"/>
        <v/>
      </c>
      <c r="AH13" s="10" t="str">
        <f t="shared" ca="1" si="12"/>
        <v/>
      </c>
      <c r="AI13" s="10" t="str">
        <f t="shared" ca="1" si="12"/>
        <v/>
      </c>
      <c r="AJ13" s="10" t="str">
        <f t="shared" ca="1" si="12"/>
        <v/>
      </c>
      <c r="AK13" s="10" t="str">
        <f t="shared" ca="1" si="12"/>
        <v/>
      </c>
      <c r="AL13" s="10" t="str">
        <f t="shared" ca="1" si="12"/>
        <v/>
      </c>
      <c r="AM13" s="10" t="str">
        <f t="shared" ref="AM13:AV15" ca="1" si="13">IF(AND($C13="Objetivo",AM$5&gt;=$F13,AM$5&lt;=$F13+$G13-1),2,IF(AND($C13="Marco",AM$5&gt;=$F13,AM$5&lt;=$F13+$G13-1),1,""))</f>
        <v/>
      </c>
      <c r="AN13" s="10" t="str">
        <f t="shared" ca="1" si="13"/>
        <v/>
      </c>
      <c r="AO13" s="10" t="str">
        <f t="shared" ca="1" si="13"/>
        <v/>
      </c>
      <c r="AP13" s="10" t="str">
        <f t="shared" ca="1" si="13"/>
        <v/>
      </c>
      <c r="AQ13" s="10" t="str">
        <f t="shared" ca="1" si="13"/>
        <v/>
      </c>
      <c r="AR13" s="10" t="str">
        <f t="shared" ca="1" si="13"/>
        <v/>
      </c>
      <c r="AS13" s="10" t="str">
        <f t="shared" ca="1" si="13"/>
        <v/>
      </c>
      <c r="AT13" s="10" t="str">
        <f t="shared" ca="1" si="13"/>
        <v/>
      </c>
      <c r="AU13" s="10" t="str">
        <f t="shared" ca="1" si="13"/>
        <v/>
      </c>
      <c r="AV13" s="10" t="str">
        <f t="shared" ca="1" si="13"/>
        <v/>
      </c>
      <c r="AW13" s="10" t="str">
        <f t="shared" ref="AW13:BF15" ca="1" si="14">IF(AND($C13="Objetivo",AW$5&gt;=$F13,AW$5&lt;=$F13+$G13-1),2,IF(AND($C13="Marco",AW$5&gt;=$F13,AW$5&lt;=$F13+$G13-1),1,""))</f>
        <v/>
      </c>
      <c r="AX13" s="10" t="str">
        <f t="shared" ca="1" si="14"/>
        <v/>
      </c>
      <c r="AY13" s="10" t="str">
        <f t="shared" ca="1" si="14"/>
        <v/>
      </c>
      <c r="AZ13" s="10" t="str">
        <f t="shared" ca="1" si="14"/>
        <v/>
      </c>
      <c r="BA13" s="10" t="str">
        <f t="shared" ca="1" si="14"/>
        <v/>
      </c>
      <c r="BB13" s="10" t="str">
        <f t="shared" ca="1" si="14"/>
        <v/>
      </c>
      <c r="BC13" s="10" t="str">
        <f t="shared" ca="1" si="14"/>
        <v/>
      </c>
      <c r="BD13" s="10" t="str">
        <f t="shared" ca="1" si="14"/>
        <v/>
      </c>
      <c r="BE13" s="10" t="str">
        <f t="shared" ca="1" si="14"/>
        <v/>
      </c>
      <c r="BF13" s="10" t="str">
        <f t="shared" ca="1" si="14"/>
        <v/>
      </c>
      <c r="BG13" s="10" t="str">
        <f t="shared" ref="BG13:BL15" ca="1" si="15">IF(AND($C13="Objetivo",BG$5&gt;=$F13,BG$5&lt;=$F13+$G13-1),2,IF(AND($C13="Marco",BG$5&gt;=$F13,BG$5&lt;=$F13+$G13-1),1,""))</f>
        <v/>
      </c>
      <c r="BH13" s="10" t="str">
        <f t="shared" ca="1" si="15"/>
        <v/>
      </c>
      <c r="BI13" s="10" t="str">
        <f t="shared" ca="1" si="15"/>
        <v/>
      </c>
      <c r="BJ13" s="10" t="str">
        <f t="shared" ca="1" si="15"/>
        <v/>
      </c>
      <c r="BK13" s="10" t="str">
        <f t="shared" ca="1" si="15"/>
        <v/>
      </c>
      <c r="BL13" s="10" t="str">
        <f t="shared" ca="1" si="15"/>
        <v/>
      </c>
    </row>
    <row r="14" spans="1:64" s="13" customFormat="1" ht="60" customHeight="1">
      <c r="A14" s="319" t="s">
        <v>60</v>
      </c>
      <c r="B14" s="280" t="s">
        <v>62</v>
      </c>
      <c r="C14" s="280" t="s">
        <v>664</v>
      </c>
      <c r="D14" s="280" t="str">
        <f>'Dicionario EAP2'!G21</f>
        <v>Todos os integrantes do grupo</v>
      </c>
      <c r="E14" s="281">
        <f>'Dicionario EAP2'!T21</f>
        <v>1</v>
      </c>
      <c r="F14" s="282">
        <f>'Dicionario EAP2'!I21</f>
        <v>44434</v>
      </c>
      <c r="G14" s="280">
        <v>2</v>
      </c>
      <c r="H14" s="29"/>
      <c r="I14" s="10" t="str">
        <f t="shared" ca="1" si="10"/>
        <v/>
      </c>
      <c r="J14" s="10" t="str">
        <f t="shared" ca="1" si="10"/>
        <v/>
      </c>
      <c r="K14" s="10" t="str">
        <f t="shared" ca="1" si="10"/>
        <v/>
      </c>
      <c r="L14" s="10" t="str">
        <f t="shared" ca="1" si="10"/>
        <v/>
      </c>
      <c r="M14" s="10" t="str">
        <f t="shared" ca="1" si="10"/>
        <v/>
      </c>
      <c r="N14" s="10" t="str">
        <f t="shared" ca="1" si="10"/>
        <v/>
      </c>
      <c r="O14" s="10" t="str">
        <f t="shared" ca="1" si="10"/>
        <v/>
      </c>
      <c r="P14" s="10" t="str">
        <f t="shared" ca="1" si="10"/>
        <v/>
      </c>
      <c r="Q14" s="10" t="str">
        <f t="shared" ca="1" si="10"/>
        <v/>
      </c>
      <c r="R14" s="10" t="str">
        <f t="shared" ca="1" si="10"/>
        <v/>
      </c>
      <c r="S14" s="10" t="str">
        <f t="shared" ca="1" si="11"/>
        <v/>
      </c>
      <c r="T14" s="10" t="str">
        <f t="shared" ca="1" si="11"/>
        <v/>
      </c>
      <c r="U14" s="10" t="str">
        <f t="shared" ca="1" si="11"/>
        <v/>
      </c>
      <c r="V14" s="10" t="str">
        <f t="shared" ca="1" si="11"/>
        <v/>
      </c>
      <c r="W14" s="10" t="str">
        <f t="shared" ca="1" si="11"/>
        <v/>
      </c>
      <c r="X14" s="10" t="str">
        <f t="shared" ca="1" si="11"/>
        <v/>
      </c>
      <c r="Y14" s="10" t="str">
        <f t="shared" ca="1" si="11"/>
        <v/>
      </c>
      <c r="Z14" s="10" t="str">
        <f t="shared" ca="1" si="11"/>
        <v/>
      </c>
      <c r="AA14" s="10" t="str">
        <f t="shared" ca="1" si="11"/>
        <v/>
      </c>
      <c r="AB14" s="10" t="str">
        <f t="shared" ca="1" si="11"/>
        <v/>
      </c>
      <c r="AC14" s="10" t="str">
        <f t="shared" ca="1" si="12"/>
        <v/>
      </c>
      <c r="AD14" s="10" t="str">
        <f t="shared" ca="1" si="12"/>
        <v/>
      </c>
      <c r="AE14" s="10" t="str">
        <f t="shared" ca="1" si="12"/>
        <v/>
      </c>
      <c r="AF14" s="10" t="str">
        <f t="shared" ca="1" si="12"/>
        <v/>
      </c>
      <c r="AG14" s="10" t="str">
        <f t="shared" ca="1" si="12"/>
        <v/>
      </c>
      <c r="AH14" s="10" t="str">
        <f t="shared" ca="1" si="12"/>
        <v/>
      </c>
      <c r="AI14" s="10" t="str">
        <f t="shared" ca="1" si="12"/>
        <v/>
      </c>
      <c r="AJ14" s="10" t="str">
        <f t="shared" ca="1" si="12"/>
        <v/>
      </c>
      <c r="AK14" s="10" t="str">
        <f t="shared" ca="1" si="12"/>
        <v/>
      </c>
      <c r="AL14" s="10" t="str">
        <f t="shared" ca="1" si="12"/>
        <v/>
      </c>
      <c r="AM14" s="10" t="str">
        <f t="shared" ca="1" si="13"/>
        <v/>
      </c>
      <c r="AN14" s="10" t="str">
        <f t="shared" ca="1" si="13"/>
        <v/>
      </c>
      <c r="AO14" s="10" t="str">
        <f t="shared" ca="1" si="13"/>
        <v/>
      </c>
      <c r="AP14" s="10" t="str">
        <f t="shared" ca="1" si="13"/>
        <v/>
      </c>
      <c r="AQ14" s="10" t="str">
        <f t="shared" ca="1" si="13"/>
        <v/>
      </c>
      <c r="AR14" s="10" t="str">
        <f t="shared" ca="1" si="13"/>
        <v/>
      </c>
      <c r="AS14" s="10" t="str">
        <f t="shared" ca="1" si="13"/>
        <v/>
      </c>
      <c r="AT14" s="10" t="str">
        <f t="shared" ca="1" si="13"/>
        <v/>
      </c>
      <c r="AU14" s="10" t="str">
        <f t="shared" ca="1" si="13"/>
        <v/>
      </c>
      <c r="AV14" s="10" t="str">
        <f t="shared" ca="1" si="13"/>
        <v/>
      </c>
      <c r="AW14" s="10" t="str">
        <f t="shared" ca="1" si="14"/>
        <v/>
      </c>
      <c r="AX14" s="10" t="str">
        <f t="shared" ca="1" si="14"/>
        <v/>
      </c>
      <c r="AY14" s="10" t="str">
        <f t="shared" ca="1" si="14"/>
        <v/>
      </c>
      <c r="AZ14" s="10" t="str">
        <f t="shared" ca="1" si="14"/>
        <v/>
      </c>
      <c r="BA14" s="10" t="str">
        <f t="shared" ca="1" si="14"/>
        <v/>
      </c>
      <c r="BB14" s="10" t="str">
        <f t="shared" ca="1" si="14"/>
        <v/>
      </c>
      <c r="BC14" s="10" t="str">
        <f t="shared" ca="1" si="14"/>
        <v/>
      </c>
      <c r="BD14" s="10" t="str">
        <f t="shared" ca="1" si="14"/>
        <v/>
      </c>
      <c r="BE14" s="10" t="str">
        <f t="shared" ca="1" si="14"/>
        <v/>
      </c>
      <c r="BF14" s="10" t="str">
        <f t="shared" ca="1" si="14"/>
        <v/>
      </c>
      <c r="BG14" s="10" t="str">
        <f t="shared" ca="1" si="15"/>
        <v/>
      </c>
      <c r="BH14" s="10" t="str">
        <f t="shared" ca="1" si="15"/>
        <v/>
      </c>
      <c r="BI14" s="10" t="str">
        <f t="shared" ca="1" si="15"/>
        <v/>
      </c>
      <c r="BJ14" s="10" t="str">
        <f t="shared" ca="1" si="15"/>
        <v/>
      </c>
      <c r="BK14" s="10" t="str">
        <f t="shared" ca="1" si="15"/>
        <v/>
      </c>
      <c r="BL14" s="10" t="str">
        <f t="shared" ca="1" si="15"/>
        <v/>
      </c>
    </row>
    <row r="15" spans="1:64" s="13" customFormat="1" ht="60" customHeight="1">
      <c r="A15" s="320" t="s">
        <v>68</v>
      </c>
      <c r="B15" s="290" t="s">
        <v>70</v>
      </c>
      <c r="C15" s="290" t="s">
        <v>663</v>
      </c>
      <c r="D15" s="290" t="str">
        <f>'Dicionario EAP2'!G22</f>
        <v>Todos os integrantes do grupo</v>
      </c>
      <c r="E15" s="291">
        <f>'Dicionario EAP2'!T22</f>
        <v>1</v>
      </c>
      <c r="F15" s="292">
        <f>'Dicionario EAP2'!I22</f>
        <v>44432</v>
      </c>
      <c r="G15" s="290">
        <v>11</v>
      </c>
      <c r="H15" s="29"/>
      <c r="I15" s="10" t="str">
        <f t="shared" ca="1" si="10"/>
        <v/>
      </c>
      <c r="J15" s="10" t="str">
        <f t="shared" ca="1" si="10"/>
        <v/>
      </c>
      <c r="K15" s="10" t="str">
        <f t="shared" ca="1" si="10"/>
        <v/>
      </c>
      <c r="L15" s="10" t="str">
        <f t="shared" ca="1" si="10"/>
        <v/>
      </c>
      <c r="M15" s="10" t="str">
        <f t="shared" ca="1" si="10"/>
        <v/>
      </c>
      <c r="N15" s="10" t="str">
        <f t="shared" ca="1" si="10"/>
        <v/>
      </c>
      <c r="O15" s="10" t="str">
        <f t="shared" ca="1" si="10"/>
        <v/>
      </c>
      <c r="P15" s="10" t="str">
        <f t="shared" ca="1" si="10"/>
        <v/>
      </c>
      <c r="Q15" s="10" t="str">
        <f t="shared" ca="1" si="10"/>
        <v/>
      </c>
      <c r="R15" s="10" t="str">
        <f t="shared" ca="1" si="10"/>
        <v/>
      </c>
      <c r="S15" s="10" t="str">
        <f t="shared" ca="1" si="11"/>
        <v/>
      </c>
      <c r="T15" s="10" t="str">
        <f t="shared" ca="1" si="11"/>
        <v/>
      </c>
      <c r="U15" s="10" t="str">
        <f t="shared" ca="1" si="11"/>
        <v/>
      </c>
      <c r="V15" s="10" t="str">
        <f t="shared" ca="1" si="11"/>
        <v/>
      </c>
      <c r="W15" s="10" t="str">
        <f t="shared" ca="1" si="11"/>
        <v/>
      </c>
      <c r="X15" s="10" t="str">
        <f t="shared" ca="1" si="11"/>
        <v/>
      </c>
      <c r="Y15" s="10" t="str">
        <f t="shared" ca="1" si="11"/>
        <v/>
      </c>
      <c r="Z15" s="10" t="str">
        <f t="shared" ca="1" si="11"/>
        <v/>
      </c>
      <c r="AA15" s="10" t="str">
        <f t="shared" ca="1" si="11"/>
        <v/>
      </c>
      <c r="AB15" s="10" t="str">
        <f t="shared" ca="1" si="11"/>
        <v/>
      </c>
      <c r="AC15" s="10" t="str">
        <f t="shared" ca="1" si="12"/>
        <v/>
      </c>
      <c r="AD15" s="10" t="str">
        <f t="shared" ca="1" si="12"/>
        <v/>
      </c>
      <c r="AE15" s="10" t="str">
        <f t="shared" ca="1" si="12"/>
        <v/>
      </c>
      <c r="AF15" s="10" t="str">
        <f t="shared" ca="1" si="12"/>
        <v/>
      </c>
      <c r="AG15" s="10" t="str">
        <f t="shared" ca="1" si="12"/>
        <v/>
      </c>
      <c r="AH15" s="10" t="str">
        <f t="shared" ca="1" si="12"/>
        <v/>
      </c>
      <c r="AI15" s="10" t="str">
        <f t="shared" ca="1" si="12"/>
        <v/>
      </c>
      <c r="AJ15" s="10" t="str">
        <f t="shared" ca="1" si="12"/>
        <v/>
      </c>
      <c r="AK15" s="10" t="str">
        <f t="shared" ca="1" si="12"/>
        <v/>
      </c>
      <c r="AL15" s="10" t="str">
        <f t="shared" ca="1" si="12"/>
        <v/>
      </c>
      <c r="AM15" s="10" t="str">
        <f t="shared" ca="1" si="13"/>
        <v/>
      </c>
      <c r="AN15" s="10" t="str">
        <f t="shared" ca="1" si="13"/>
        <v/>
      </c>
      <c r="AO15" s="10" t="str">
        <f t="shared" ca="1" si="13"/>
        <v/>
      </c>
      <c r="AP15" s="10" t="str">
        <f t="shared" ca="1" si="13"/>
        <v/>
      </c>
      <c r="AQ15" s="10" t="str">
        <f t="shared" ca="1" si="13"/>
        <v/>
      </c>
      <c r="AR15" s="10" t="str">
        <f t="shared" ca="1" si="13"/>
        <v/>
      </c>
      <c r="AS15" s="10" t="str">
        <f t="shared" ca="1" si="13"/>
        <v/>
      </c>
      <c r="AT15" s="10" t="str">
        <f t="shared" ca="1" si="13"/>
        <v/>
      </c>
      <c r="AU15" s="10" t="str">
        <f t="shared" ca="1" si="13"/>
        <v/>
      </c>
      <c r="AV15" s="10" t="str">
        <f t="shared" ca="1" si="13"/>
        <v/>
      </c>
      <c r="AW15" s="10" t="str">
        <f t="shared" ca="1" si="14"/>
        <v/>
      </c>
      <c r="AX15" s="10" t="str">
        <f t="shared" ca="1" si="14"/>
        <v/>
      </c>
      <c r="AY15" s="10" t="str">
        <f t="shared" ca="1" si="14"/>
        <v/>
      </c>
      <c r="AZ15" s="10" t="str">
        <f t="shared" ca="1" si="14"/>
        <v/>
      </c>
      <c r="BA15" s="10" t="str">
        <f t="shared" ca="1" si="14"/>
        <v/>
      </c>
      <c r="BB15" s="10" t="str">
        <f t="shared" ca="1" si="14"/>
        <v/>
      </c>
      <c r="BC15" s="10" t="str">
        <f t="shared" ca="1" si="14"/>
        <v/>
      </c>
      <c r="BD15" s="10" t="str">
        <f t="shared" ca="1" si="14"/>
        <v/>
      </c>
      <c r="BE15" s="10" t="str">
        <f t="shared" ca="1" si="14"/>
        <v/>
      </c>
      <c r="BF15" s="10" t="str">
        <f t="shared" ca="1" si="14"/>
        <v/>
      </c>
      <c r="BG15" s="10" t="str">
        <f t="shared" ca="1" si="15"/>
        <v/>
      </c>
      <c r="BH15" s="10" t="str">
        <f t="shared" ca="1" si="15"/>
        <v/>
      </c>
      <c r="BI15" s="10" t="str">
        <f t="shared" ca="1" si="15"/>
        <v/>
      </c>
      <c r="BJ15" s="10" t="str">
        <f t="shared" ca="1" si="15"/>
        <v/>
      </c>
      <c r="BK15" s="10" t="str">
        <f t="shared" ca="1" si="15"/>
        <v/>
      </c>
      <c r="BL15" s="10" t="str">
        <f t="shared" ca="1" si="15"/>
        <v/>
      </c>
    </row>
    <row r="16" spans="1:64" s="13" customFormat="1" ht="60" customHeight="1">
      <c r="A16" s="321" t="s">
        <v>75</v>
      </c>
      <c r="B16" s="290" t="s">
        <v>70</v>
      </c>
      <c r="C16" s="290" t="s">
        <v>663</v>
      </c>
      <c r="D16" s="290" t="str">
        <f>'Dicionario EAP2'!G23</f>
        <v>Todos os integrantes do grupo</v>
      </c>
      <c r="E16" s="291">
        <f>'Dicionario EAP2'!T23</f>
        <v>1</v>
      </c>
      <c r="F16" s="292">
        <f>'Dicionario EAP2'!I23</f>
        <v>44432</v>
      </c>
      <c r="G16" s="290">
        <v>13</v>
      </c>
      <c r="H16" s="2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1:64" s="13" customFormat="1" ht="60" customHeight="1">
      <c r="A17" s="321" t="s">
        <v>80</v>
      </c>
      <c r="B17" s="290" t="s">
        <v>82</v>
      </c>
      <c r="C17" s="290" t="s">
        <v>663</v>
      </c>
      <c r="D17" s="290" t="str">
        <f>'Dicionario EAP2'!G24</f>
        <v>Todos os integrantes do grupo</v>
      </c>
      <c r="E17" s="291">
        <f>'Dicionario EAP2'!T24</f>
        <v>1</v>
      </c>
      <c r="F17" s="292">
        <f>'Dicionario EAP2'!I24</f>
        <v>44434</v>
      </c>
      <c r="G17" s="290">
        <v>9</v>
      </c>
      <c r="H17" s="2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1:64" s="13" customFormat="1" ht="60" customHeight="1">
      <c r="A18" s="321" t="s">
        <v>86</v>
      </c>
      <c r="B18" s="290" t="s">
        <v>88</v>
      </c>
      <c r="C18" s="290" t="s">
        <v>663</v>
      </c>
      <c r="D18" s="290" t="str">
        <f>'Dicionario EAP2'!G25</f>
        <v>Todos os integrantes do grupo</v>
      </c>
      <c r="E18" s="291">
        <f>'Dicionario EAP2'!T25</f>
        <v>1</v>
      </c>
      <c r="F18" s="292">
        <f>'Dicionario EAP2'!I25</f>
        <v>44439</v>
      </c>
      <c r="G18" s="290">
        <v>11</v>
      </c>
      <c r="H18" s="2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1:64" s="13" customFormat="1" ht="60" customHeight="1">
      <c r="A19" s="321" t="s">
        <v>60</v>
      </c>
      <c r="B19" s="290" t="s">
        <v>92</v>
      </c>
      <c r="C19" s="290" t="s">
        <v>665</v>
      </c>
      <c r="D19" s="290" t="str">
        <f>'Dicionario EAP2'!G26</f>
        <v>Todos os integrantes do grupo</v>
      </c>
      <c r="E19" s="291">
        <f>'Dicionario EAP2'!T26</f>
        <v>1</v>
      </c>
      <c r="F19" s="292">
        <f>'Dicionario EAP2'!I26</f>
        <v>44439</v>
      </c>
      <c r="G19" s="290">
        <v>12</v>
      </c>
      <c r="H19" s="2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1:64" s="13" customFormat="1" ht="60" customHeight="1">
      <c r="A20" s="322" t="s">
        <v>97</v>
      </c>
      <c r="B20" s="293" t="s">
        <v>100</v>
      </c>
      <c r="C20" s="293" t="s">
        <v>665</v>
      </c>
      <c r="D20" s="293" t="str">
        <f>'Dicionario EAP2'!G27</f>
        <v>Leandro Costa
Petrick Gomes</v>
      </c>
      <c r="E20" s="293">
        <f>'Dicionario EAP2'!T27</f>
        <v>1</v>
      </c>
      <c r="F20" s="293">
        <f>'Dicionario EAP2'!I27</f>
        <v>44441</v>
      </c>
      <c r="G20" s="293">
        <v>2</v>
      </c>
      <c r="H20" s="29"/>
      <c r="I20" s="10" t="str">
        <f t="shared" ref="I20:AN20" ca="1" si="16">IF(AND($C20="Objetivo",I$5&gt;=$F20,I$5&lt;=$F20+$G20-1),2,IF(AND($C20="Marco",I$5&gt;=$F20,I$5&lt;=$F20+$G20-1),1,""))</f>
        <v/>
      </c>
      <c r="J20" s="10" t="str">
        <f t="shared" ca="1" si="16"/>
        <v/>
      </c>
      <c r="K20" s="10" t="str">
        <f t="shared" ca="1" si="16"/>
        <v/>
      </c>
      <c r="L20" s="10" t="str">
        <f t="shared" ca="1" si="16"/>
        <v/>
      </c>
      <c r="M20" s="10" t="str">
        <f t="shared" ca="1" si="16"/>
        <v/>
      </c>
      <c r="N20" s="10" t="str">
        <f t="shared" ca="1" si="16"/>
        <v/>
      </c>
      <c r="O20" s="10" t="str">
        <f t="shared" ca="1" si="16"/>
        <v/>
      </c>
      <c r="P20" s="10" t="str">
        <f t="shared" ca="1" si="16"/>
        <v/>
      </c>
      <c r="Q20" s="10" t="str">
        <f t="shared" ca="1" si="16"/>
        <v/>
      </c>
      <c r="R20" s="10" t="str">
        <f t="shared" ca="1" si="16"/>
        <v/>
      </c>
      <c r="S20" s="10" t="str">
        <f t="shared" ca="1" si="16"/>
        <v/>
      </c>
      <c r="T20" s="10" t="str">
        <f t="shared" ca="1" si="16"/>
        <v/>
      </c>
      <c r="U20" s="10" t="str">
        <f t="shared" ca="1" si="16"/>
        <v/>
      </c>
      <c r="V20" s="10" t="str">
        <f t="shared" ca="1" si="16"/>
        <v/>
      </c>
      <c r="W20" s="10" t="str">
        <f t="shared" ca="1" si="16"/>
        <v/>
      </c>
      <c r="X20" s="10" t="str">
        <f t="shared" ca="1" si="16"/>
        <v/>
      </c>
      <c r="Y20" s="10" t="str">
        <f t="shared" ca="1" si="16"/>
        <v/>
      </c>
      <c r="Z20" s="10" t="str">
        <f t="shared" ca="1" si="16"/>
        <v/>
      </c>
      <c r="AA20" s="10" t="str">
        <f t="shared" ca="1" si="16"/>
        <v/>
      </c>
      <c r="AB20" s="10" t="str">
        <f t="shared" ca="1" si="16"/>
        <v/>
      </c>
      <c r="AC20" s="10" t="str">
        <f t="shared" ca="1" si="16"/>
        <v/>
      </c>
      <c r="AD20" s="10" t="str">
        <f t="shared" ca="1" si="16"/>
        <v/>
      </c>
      <c r="AE20" s="10" t="str">
        <f t="shared" ca="1" si="16"/>
        <v/>
      </c>
      <c r="AF20" s="10" t="str">
        <f t="shared" ca="1" si="16"/>
        <v/>
      </c>
      <c r="AG20" s="10" t="str">
        <f t="shared" ca="1" si="16"/>
        <v/>
      </c>
      <c r="AH20" s="10" t="str">
        <f t="shared" ca="1" si="16"/>
        <v/>
      </c>
      <c r="AI20" s="10" t="str">
        <f t="shared" ca="1" si="16"/>
        <v/>
      </c>
      <c r="AJ20" s="10" t="str">
        <f t="shared" ca="1" si="16"/>
        <v/>
      </c>
      <c r="AK20" s="10" t="str">
        <f t="shared" ca="1" si="16"/>
        <v/>
      </c>
      <c r="AL20" s="10" t="str">
        <f t="shared" ca="1" si="16"/>
        <v/>
      </c>
      <c r="AM20" s="10" t="str">
        <f t="shared" ca="1" si="16"/>
        <v/>
      </c>
      <c r="AN20" s="10" t="str">
        <f t="shared" ca="1" si="16"/>
        <v/>
      </c>
      <c r="AO20" s="10" t="str">
        <f t="shared" ref="AO20:BL20" ca="1" si="17">IF(AND($C20="Objetivo",AO$5&gt;=$F20,AO$5&lt;=$F20+$G20-1),2,IF(AND($C20="Marco",AO$5&gt;=$F20,AO$5&lt;=$F20+$G20-1),1,""))</f>
        <v/>
      </c>
      <c r="AP20" s="10" t="str">
        <f t="shared" ca="1" si="17"/>
        <v/>
      </c>
      <c r="AQ20" s="10" t="str">
        <f t="shared" ca="1" si="17"/>
        <v/>
      </c>
      <c r="AR20" s="10" t="str">
        <f t="shared" ca="1" si="17"/>
        <v/>
      </c>
      <c r="AS20" s="10" t="str">
        <f t="shared" ca="1" si="17"/>
        <v/>
      </c>
      <c r="AT20" s="10" t="str">
        <f t="shared" ca="1" si="17"/>
        <v/>
      </c>
      <c r="AU20" s="10" t="str">
        <f t="shared" ca="1" si="17"/>
        <v/>
      </c>
      <c r="AV20" s="10" t="str">
        <f t="shared" ca="1" si="17"/>
        <v/>
      </c>
      <c r="AW20" s="10" t="str">
        <f t="shared" ca="1" si="17"/>
        <v/>
      </c>
      <c r="AX20" s="10" t="str">
        <f t="shared" ca="1" si="17"/>
        <v/>
      </c>
      <c r="AY20" s="10" t="str">
        <f t="shared" ca="1" si="17"/>
        <v/>
      </c>
      <c r="AZ20" s="10" t="str">
        <f t="shared" ca="1" si="17"/>
        <v/>
      </c>
      <c r="BA20" s="10" t="str">
        <f t="shared" ca="1" si="17"/>
        <v/>
      </c>
      <c r="BB20" s="10" t="str">
        <f t="shared" ca="1" si="17"/>
        <v/>
      </c>
      <c r="BC20" s="10" t="str">
        <f t="shared" ca="1" si="17"/>
        <v/>
      </c>
      <c r="BD20" s="10" t="str">
        <f t="shared" ca="1" si="17"/>
        <v/>
      </c>
      <c r="BE20" s="10" t="str">
        <f t="shared" ca="1" si="17"/>
        <v/>
      </c>
      <c r="BF20" s="10" t="str">
        <f t="shared" ca="1" si="17"/>
        <v/>
      </c>
      <c r="BG20" s="10" t="str">
        <f t="shared" ca="1" si="17"/>
        <v/>
      </c>
      <c r="BH20" s="10" t="str">
        <f t="shared" ca="1" si="17"/>
        <v/>
      </c>
      <c r="BI20" s="10" t="str">
        <f t="shared" ca="1" si="17"/>
        <v/>
      </c>
      <c r="BJ20" s="10" t="str">
        <f t="shared" ca="1" si="17"/>
        <v/>
      </c>
      <c r="BK20" s="10" t="str">
        <f t="shared" ca="1" si="17"/>
        <v/>
      </c>
      <c r="BL20" s="10" t="str">
        <f t="shared" ca="1" si="17"/>
        <v/>
      </c>
    </row>
    <row r="21" spans="1:64" s="13" customFormat="1" ht="60" customHeight="1">
      <c r="A21" s="322" t="s">
        <v>107</v>
      </c>
      <c r="B21" s="293" t="s">
        <v>108</v>
      </c>
      <c r="C21" s="293" t="s">
        <v>665</v>
      </c>
      <c r="D21" s="293" t="str">
        <f>'Dicionario EAP2'!G28</f>
        <v>Leandro Costa
Petrick Gomes</v>
      </c>
      <c r="E21" s="294">
        <f>'Dicionario EAP2'!T28</f>
        <v>1</v>
      </c>
      <c r="F21" s="295">
        <f>'Dicionario EAP2'!I28</f>
        <v>44447</v>
      </c>
      <c r="G21" s="293">
        <v>9</v>
      </c>
      <c r="H21" s="2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</row>
    <row r="22" spans="1:64" s="13" customFormat="1" ht="60" customHeight="1">
      <c r="A22" s="322" t="s">
        <v>113</v>
      </c>
      <c r="B22" s="293" t="s">
        <v>114</v>
      </c>
      <c r="C22" s="293" t="s">
        <v>665</v>
      </c>
      <c r="D22" s="293" t="str">
        <f>'Dicionario EAP2'!G29</f>
        <v>Leandro Costa
Petrick Gomes</v>
      </c>
      <c r="E22" s="294">
        <f>'Dicionario EAP2'!T29</f>
        <v>1</v>
      </c>
      <c r="F22" s="295">
        <f>'Dicionario EAP2'!I29</f>
        <v>44448</v>
      </c>
      <c r="G22" s="293">
        <v>8</v>
      </c>
      <c r="H22" s="2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</row>
    <row r="23" spans="1:64" s="13" customFormat="1" ht="60" customHeight="1">
      <c r="A23" s="322" t="s">
        <v>86</v>
      </c>
      <c r="B23" s="293" t="s">
        <v>88</v>
      </c>
      <c r="C23" s="293" t="s">
        <v>664</v>
      </c>
      <c r="D23" s="293" t="str">
        <f>'Dicionario EAP2'!G30</f>
        <v>Leandro Costa
Petrick Gomes</v>
      </c>
      <c r="E23" s="294">
        <f>'Dicionario EAP2'!T30</f>
        <v>1</v>
      </c>
      <c r="F23" s="295">
        <f>'Dicionario EAP2'!I30</f>
        <v>44449</v>
      </c>
      <c r="G23" s="293">
        <v>7</v>
      </c>
      <c r="H23" s="2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</row>
    <row r="24" spans="1:64" s="13" customFormat="1" ht="60" customHeight="1">
      <c r="A24" s="322" t="s">
        <v>120</v>
      </c>
      <c r="B24" s="293" t="s">
        <v>121</v>
      </c>
      <c r="C24" s="293" t="s">
        <v>665</v>
      </c>
      <c r="D24" s="293" t="str">
        <f>'Dicionario EAP2'!G31</f>
        <v>Leandro Costa
Petrick Gomes</v>
      </c>
      <c r="E24" s="294">
        <f>'Dicionario EAP2'!T31</f>
        <v>1</v>
      </c>
      <c r="F24" s="295">
        <f>'Dicionario EAP2'!I31</f>
        <v>44449</v>
      </c>
      <c r="G24" s="293">
        <v>7</v>
      </c>
      <c r="H24" s="2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</row>
    <row r="25" spans="1:64" s="13" customFormat="1" ht="60" customHeight="1">
      <c r="A25" s="323" t="s">
        <v>125</v>
      </c>
      <c r="B25" s="296" t="s">
        <v>126</v>
      </c>
      <c r="C25" s="296" t="s">
        <v>664</v>
      </c>
      <c r="D25" s="296" t="str">
        <f>'Dicionario EAP2'!G32</f>
        <v>Cosme Sousa
Damião Sousa</v>
      </c>
      <c r="E25" s="297">
        <f>'Dicionario EAP2'!T32</f>
        <v>1</v>
      </c>
      <c r="F25" s="298">
        <f>'Dicionario EAP2'!I32</f>
        <v>44453</v>
      </c>
      <c r="G25" s="296">
        <v>3</v>
      </c>
      <c r="H25" s="2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</row>
    <row r="26" spans="1:64" s="13" customFormat="1" ht="60" customHeight="1">
      <c r="A26" s="323" t="s">
        <v>131</v>
      </c>
      <c r="B26" s="296" t="s">
        <v>132</v>
      </c>
      <c r="C26" s="296" t="s">
        <v>664</v>
      </c>
      <c r="D26" s="296" t="str">
        <f>'Dicionario EAP2'!G33</f>
        <v>Cosme Sousa
Damião Sousa</v>
      </c>
      <c r="E26" s="297">
        <f>'Dicionario EAP2'!T33</f>
        <v>1</v>
      </c>
      <c r="F26" s="298">
        <f>'Dicionario EAP2'!I33</f>
        <v>44455</v>
      </c>
      <c r="G26" s="296">
        <v>1</v>
      </c>
      <c r="H26" s="29"/>
      <c r="I26" s="10" t="str">
        <f t="shared" ref="I26:R30" ca="1" si="18">IF(AND($C26="Objetivo",I$5&gt;=$F26,I$5&lt;=$F26+$G26-1),2,IF(AND($C26="Marco",I$5&gt;=$F26,I$5&lt;=$F26+$G26-1),1,""))</f>
        <v/>
      </c>
      <c r="J26" s="10" t="str">
        <f t="shared" ca="1" si="18"/>
        <v/>
      </c>
      <c r="K26" s="10" t="str">
        <f t="shared" ca="1" si="18"/>
        <v/>
      </c>
      <c r="L26" s="10" t="str">
        <f t="shared" ca="1" si="18"/>
        <v/>
      </c>
      <c r="M26" s="10" t="str">
        <f t="shared" ca="1" si="18"/>
        <v/>
      </c>
      <c r="N26" s="10" t="str">
        <f t="shared" ca="1" si="18"/>
        <v/>
      </c>
      <c r="O26" s="10" t="str">
        <f t="shared" ca="1" si="18"/>
        <v/>
      </c>
      <c r="P26" s="10" t="str">
        <f t="shared" ca="1" si="18"/>
        <v/>
      </c>
      <c r="Q26" s="10" t="str">
        <f t="shared" ca="1" si="18"/>
        <v/>
      </c>
      <c r="R26" s="10" t="str">
        <f t="shared" ca="1" si="18"/>
        <v/>
      </c>
      <c r="S26" s="10" t="str">
        <f t="shared" ref="S26:AB30" ca="1" si="19">IF(AND($C26="Objetivo",S$5&gt;=$F26,S$5&lt;=$F26+$G26-1),2,IF(AND($C26="Marco",S$5&gt;=$F26,S$5&lt;=$F26+$G26-1),1,""))</f>
        <v/>
      </c>
      <c r="T26" s="10" t="str">
        <f t="shared" ca="1" si="19"/>
        <v/>
      </c>
      <c r="U26" s="10" t="str">
        <f t="shared" ca="1" si="19"/>
        <v/>
      </c>
      <c r="V26" s="10" t="str">
        <f t="shared" ca="1" si="19"/>
        <v/>
      </c>
      <c r="W26" s="10" t="str">
        <f t="shared" ca="1" si="19"/>
        <v/>
      </c>
      <c r="X26" s="10" t="str">
        <f t="shared" ca="1" si="19"/>
        <v/>
      </c>
      <c r="Y26" s="10" t="str">
        <f t="shared" ca="1" si="19"/>
        <v/>
      </c>
      <c r="Z26" s="10" t="str">
        <f t="shared" ca="1" si="19"/>
        <v/>
      </c>
      <c r="AA26" s="10" t="str">
        <f t="shared" ca="1" si="19"/>
        <v/>
      </c>
      <c r="AB26" s="10" t="str">
        <f t="shared" ca="1" si="19"/>
        <v/>
      </c>
      <c r="AC26" s="10" t="str">
        <f t="shared" ref="AC26:AL30" ca="1" si="20">IF(AND($C26="Objetivo",AC$5&gt;=$F26,AC$5&lt;=$F26+$G26-1),2,IF(AND($C26="Marco",AC$5&gt;=$F26,AC$5&lt;=$F26+$G26-1),1,""))</f>
        <v/>
      </c>
      <c r="AD26" s="10" t="str">
        <f t="shared" ca="1" si="20"/>
        <v/>
      </c>
      <c r="AE26" s="10" t="str">
        <f t="shared" ca="1" si="20"/>
        <v/>
      </c>
      <c r="AF26" s="10" t="str">
        <f t="shared" ca="1" si="20"/>
        <v/>
      </c>
      <c r="AG26" s="10" t="str">
        <f t="shared" ca="1" si="20"/>
        <v/>
      </c>
      <c r="AH26" s="10" t="str">
        <f t="shared" ca="1" si="20"/>
        <v/>
      </c>
      <c r="AI26" s="10" t="str">
        <f t="shared" ca="1" si="20"/>
        <v/>
      </c>
      <c r="AJ26" s="10" t="str">
        <f t="shared" ca="1" si="20"/>
        <v/>
      </c>
      <c r="AK26" s="10" t="str">
        <f t="shared" ca="1" si="20"/>
        <v/>
      </c>
      <c r="AL26" s="10" t="str">
        <f t="shared" ca="1" si="20"/>
        <v/>
      </c>
      <c r="AM26" s="10" t="str">
        <f t="shared" ref="AM26:AV30" ca="1" si="21">IF(AND($C26="Objetivo",AM$5&gt;=$F26,AM$5&lt;=$F26+$G26-1),2,IF(AND($C26="Marco",AM$5&gt;=$F26,AM$5&lt;=$F26+$G26-1),1,""))</f>
        <v/>
      </c>
      <c r="AN26" s="10" t="str">
        <f t="shared" ca="1" si="21"/>
        <v/>
      </c>
      <c r="AO26" s="10" t="str">
        <f t="shared" ca="1" si="21"/>
        <v/>
      </c>
      <c r="AP26" s="10" t="str">
        <f t="shared" ca="1" si="21"/>
        <v/>
      </c>
      <c r="AQ26" s="10" t="str">
        <f t="shared" ca="1" si="21"/>
        <v/>
      </c>
      <c r="AR26" s="10" t="str">
        <f t="shared" ca="1" si="21"/>
        <v/>
      </c>
      <c r="AS26" s="10" t="str">
        <f t="shared" ca="1" si="21"/>
        <v/>
      </c>
      <c r="AT26" s="10" t="str">
        <f t="shared" ca="1" si="21"/>
        <v/>
      </c>
      <c r="AU26" s="10" t="str">
        <f t="shared" ca="1" si="21"/>
        <v/>
      </c>
      <c r="AV26" s="10" t="str">
        <f t="shared" ca="1" si="21"/>
        <v/>
      </c>
      <c r="AW26" s="10" t="str">
        <f t="shared" ref="AW26:BF30" ca="1" si="22">IF(AND($C26="Objetivo",AW$5&gt;=$F26,AW$5&lt;=$F26+$G26-1),2,IF(AND($C26="Marco",AW$5&gt;=$F26,AW$5&lt;=$F26+$G26-1),1,""))</f>
        <v/>
      </c>
      <c r="AX26" s="10" t="str">
        <f t="shared" ca="1" si="22"/>
        <v/>
      </c>
      <c r="AY26" s="10" t="str">
        <f t="shared" ca="1" si="22"/>
        <v/>
      </c>
      <c r="AZ26" s="10" t="str">
        <f t="shared" ca="1" si="22"/>
        <v/>
      </c>
      <c r="BA26" s="10" t="str">
        <f t="shared" ca="1" si="22"/>
        <v/>
      </c>
      <c r="BB26" s="10" t="str">
        <f t="shared" ca="1" si="22"/>
        <v/>
      </c>
      <c r="BC26" s="10" t="str">
        <f t="shared" ca="1" si="22"/>
        <v/>
      </c>
      <c r="BD26" s="10" t="str">
        <f t="shared" ca="1" si="22"/>
        <v/>
      </c>
      <c r="BE26" s="10" t="str">
        <f t="shared" ca="1" si="22"/>
        <v/>
      </c>
      <c r="BF26" s="10" t="str">
        <f t="shared" ca="1" si="22"/>
        <v/>
      </c>
      <c r="BG26" s="10" t="str">
        <f t="shared" ref="BG26:BL30" ca="1" si="23">IF(AND($C26="Objetivo",BG$5&gt;=$F26,BG$5&lt;=$F26+$G26-1),2,IF(AND($C26="Marco",BG$5&gt;=$F26,BG$5&lt;=$F26+$G26-1),1,""))</f>
        <v/>
      </c>
      <c r="BH26" s="10" t="str">
        <f t="shared" ca="1" si="23"/>
        <v/>
      </c>
      <c r="BI26" s="10" t="str">
        <f t="shared" ca="1" si="23"/>
        <v/>
      </c>
      <c r="BJ26" s="10" t="str">
        <f t="shared" ca="1" si="23"/>
        <v/>
      </c>
      <c r="BK26" s="10" t="str">
        <f t="shared" ca="1" si="23"/>
        <v/>
      </c>
      <c r="BL26" s="10" t="str">
        <f t="shared" ca="1" si="23"/>
        <v/>
      </c>
    </row>
    <row r="27" spans="1:64" s="13" customFormat="1" ht="60" customHeight="1">
      <c r="A27" s="323" t="s">
        <v>137</v>
      </c>
      <c r="B27" s="296" t="s">
        <v>138</v>
      </c>
      <c r="C27" s="296" t="s">
        <v>665</v>
      </c>
      <c r="D27" s="296" t="str">
        <f>'Dicionario EAP2'!G34</f>
        <v>Cosme Sousa
Damião Sousa</v>
      </c>
      <c r="E27" s="297">
        <f>'Dicionario EAP2'!T34</f>
        <v>1</v>
      </c>
      <c r="F27" s="298">
        <f>'Dicionario EAP2'!I34</f>
        <v>44455</v>
      </c>
      <c r="G27" s="296">
        <v>1</v>
      </c>
      <c r="H27" s="29"/>
      <c r="I27" s="10" t="str">
        <f t="shared" ca="1" si="18"/>
        <v/>
      </c>
      <c r="J27" s="10" t="str">
        <f t="shared" ca="1" si="18"/>
        <v/>
      </c>
      <c r="K27" s="10" t="str">
        <f t="shared" ca="1" si="18"/>
        <v/>
      </c>
      <c r="L27" s="10" t="str">
        <f t="shared" ca="1" si="18"/>
        <v/>
      </c>
      <c r="M27" s="10" t="str">
        <f t="shared" ca="1" si="18"/>
        <v/>
      </c>
      <c r="N27" s="10" t="str">
        <f t="shared" ca="1" si="18"/>
        <v/>
      </c>
      <c r="O27" s="10" t="str">
        <f t="shared" ca="1" si="18"/>
        <v/>
      </c>
      <c r="P27" s="10" t="str">
        <f t="shared" ca="1" si="18"/>
        <v/>
      </c>
      <c r="Q27" s="10" t="str">
        <f t="shared" ca="1" si="18"/>
        <v/>
      </c>
      <c r="R27" s="10" t="str">
        <f t="shared" ca="1" si="18"/>
        <v/>
      </c>
      <c r="S27" s="10" t="str">
        <f t="shared" ca="1" si="19"/>
        <v/>
      </c>
      <c r="T27" s="10" t="str">
        <f t="shared" ca="1" si="19"/>
        <v/>
      </c>
      <c r="U27" s="10" t="str">
        <f t="shared" ca="1" si="19"/>
        <v/>
      </c>
      <c r="V27" s="10" t="str">
        <f t="shared" ca="1" si="19"/>
        <v/>
      </c>
      <c r="W27" s="10" t="str">
        <f t="shared" ca="1" si="19"/>
        <v/>
      </c>
      <c r="X27" s="10" t="str">
        <f t="shared" ca="1" si="19"/>
        <v/>
      </c>
      <c r="Y27" s="10" t="str">
        <f t="shared" ca="1" si="19"/>
        <v/>
      </c>
      <c r="Z27" s="10" t="str">
        <f t="shared" ca="1" si="19"/>
        <v/>
      </c>
      <c r="AA27" s="10" t="str">
        <f t="shared" ca="1" si="19"/>
        <v/>
      </c>
      <c r="AB27" s="10" t="str">
        <f t="shared" ca="1" si="19"/>
        <v/>
      </c>
      <c r="AC27" s="10" t="str">
        <f t="shared" ca="1" si="20"/>
        <v/>
      </c>
      <c r="AD27" s="10" t="str">
        <f t="shared" ca="1" si="20"/>
        <v/>
      </c>
      <c r="AE27" s="10" t="str">
        <f t="shared" ca="1" si="20"/>
        <v/>
      </c>
      <c r="AF27" s="10" t="str">
        <f t="shared" ca="1" si="20"/>
        <v/>
      </c>
      <c r="AG27" s="10" t="str">
        <f t="shared" ca="1" si="20"/>
        <v/>
      </c>
      <c r="AH27" s="10" t="str">
        <f t="shared" ca="1" si="20"/>
        <v/>
      </c>
      <c r="AI27" s="10" t="str">
        <f t="shared" ca="1" si="20"/>
        <v/>
      </c>
      <c r="AJ27" s="10" t="str">
        <f t="shared" ca="1" si="20"/>
        <v/>
      </c>
      <c r="AK27" s="10" t="str">
        <f t="shared" ca="1" si="20"/>
        <v/>
      </c>
      <c r="AL27" s="10" t="str">
        <f t="shared" ca="1" si="20"/>
        <v/>
      </c>
      <c r="AM27" s="10" t="str">
        <f t="shared" ca="1" si="21"/>
        <v/>
      </c>
      <c r="AN27" s="10" t="str">
        <f t="shared" ca="1" si="21"/>
        <v/>
      </c>
      <c r="AO27" s="10" t="str">
        <f t="shared" ca="1" si="21"/>
        <v/>
      </c>
      <c r="AP27" s="10" t="str">
        <f t="shared" ca="1" si="21"/>
        <v/>
      </c>
      <c r="AQ27" s="10" t="str">
        <f t="shared" ca="1" si="21"/>
        <v/>
      </c>
      <c r="AR27" s="10" t="str">
        <f t="shared" ca="1" si="21"/>
        <v/>
      </c>
      <c r="AS27" s="10" t="str">
        <f t="shared" ca="1" si="21"/>
        <v/>
      </c>
      <c r="AT27" s="10" t="str">
        <f t="shared" ca="1" si="21"/>
        <v/>
      </c>
      <c r="AU27" s="10" t="str">
        <f t="shared" ca="1" si="21"/>
        <v/>
      </c>
      <c r="AV27" s="10" t="str">
        <f t="shared" ca="1" si="21"/>
        <v/>
      </c>
      <c r="AW27" s="10" t="str">
        <f t="shared" ca="1" si="22"/>
        <v/>
      </c>
      <c r="AX27" s="10" t="str">
        <f t="shared" ca="1" si="22"/>
        <v/>
      </c>
      <c r="AY27" s="10" t="str">
        <f t="shared" ca="1" si="22"/>
        <v/>
      </c>
      <c r="AZ27" s="10" t="str">
        <f t="shared" ca="1" si="22"/>
        <v/>
      </c>
      <c r="BA27" s="10" t="str">
        <f t="shared" ca="1" si="22"/>
        <v/>
      </c>
      <c r="BB27" s="10" t="str">
        <f t="shared" ca="1" si="22"/>
        <v/>
      </c>
      <c r="BC27" s="10" t="str">
        <f t="shared" ca="1" si="22"/>
        <v/>
      </c>
      <c r="BD27" s="10" t="str">
        <f t="shared" ca="1" si="22"/>
        <v/>
      </c>
      <c r="BE27" s="10" t="str">
        <f t="shared" ca="1" si="22"/>
        <v/>
      </c>
      <c r="BF27" s="10" t="str">
        <f t="shared" ca="1" si="22"/>
        <v/>
      </c>
      <c r="BG27" s="10" t="str">
        <f t="shared" ca="1" si="23"/>
        <v/>
      </c>
      <c r="BH27" s="10" t="str">
        <f t="shared" ca="1" si="23"/>
        <v/>
      </c>
      <c r="BI27" s="10" t="str">
        <f t="shared" ca="1" si="23"/>
        <v/>
      </c>
      <c r="BJ27" s="10" t="str">
        <f t="shared" ca="1" si="23"/>
        <v/>
      </c>
      <c r="BK27" s="10" t="str">
        <f t="shared" ca="1" si="23"/>
        <v/>
      </c>
      <c r="BL27" s="10" t="str">
        <f t="shared" ca="1" si="23"/>
        <v/>
      </c>
    </row>
    <row r="28" spans="1:64" s="13" customFormat="1" ht="60" customHeight="1">
      <c r="A28" s="323" t="s">
        <v>142</v>
      </c>
      <c r="B28" s="296" t="s">
        <v>143</v>
      </c>
      <c r="C28" s="296" t="s">
        <v>665</v>
      </c>
      <c r="D28" s="296" t="str">
        <f>'Dicionario EAP2'!G35</f>
        <v>Cosme Sousa
Damião Sousa</v>
      </c>
      <c r="E28" s="297">
        <f>'Dicionario EAP2'!T35</f>
        <v>1</v>
      </c>
      <c r="F28" s="298">
        <f>'Dicionario EAP2'!I35</f>
        <v>44455</v>
      </c>
      <c r="G28" s="296">
        <v>1</v>
      </c>
      <c r="H28" s="29"/>
      <c r="I28" s="10" t="str">
        <f t="shared" ca="1" si="18"/>
        <v/>
      </c>
      <c r="J28" s="10" t="str">
        <f t="shared" ca="1" si="18"/>
        <v/>
      </c>
      <c r="K28" s="10" t="str">
        <f t="shared" ca="1" si="18"/>
        <v/>
      </c>
      <c r="L28" s="10" t="str">
        <f t="shared" ca="1" si="18"/>
        <v/>
      </c>
      <c r="M28" s="10" t="str">
        <f t="shared" ca="1" si="18"/>
        <v/>
      </c>
      <c r="N28" s="10" t="str">
        <f t="shared" ca="1" si="18"/>
        <v/>
      </c>
      <c r="O28" s="10" t="str">
        <f t="shared" ca="1" si="18"/>
        <v/>
      </c>
      <c r="P28" s="10" t="str">
        <f t="shared" ca="1" si="18"/>
        <v/>
      </c>
      <c r="Q28" s="10" t="str">
        <f t="shared" ca="1" si="18"/>
        <v/>
      </c>
      <c r="R28" s="10" t="str">
        <f t="shared" ca="1" si="18"/>
        <v/>
      </c>
      <c r="S28" s="10" t="str">
        <f t="shared" ca="1" si="19"/>
        <v/>
      </c>
      <c r="T28" s="10" t="str">
        <f t="shared" ca="1" si="19"/>
        <v/>
      </c>
      <c r="U28" s="10" t="str">
        <f t="shared" ca="1" si="19"/>
        <v/>
      </c>
      <c r="V28" s="10" t="str">
        <f t="shared" ca="1" si="19"/>
        <v/>
      </c>
      <c r="W28" s="10" t="str">
        <f t="shared" ca="1" si="19"/>
        <v/>
      </c>
      <c r="X28" s="10" t="str">
        <f t="shared" ca="1" si="19"/>
        <v/>
      </c>
      <c r="Y28" s="10" t="str">
        <f t="shared" ca="1" si="19"/>
        <v/>
      </c>
      <c r="Z28" s="10" t="str">
        <f t="shared" ca="1" si="19"/>
        <v/>
      </c>
      <c r="AA28" s="10" t="str">
        <f t="shared" ca="1" si="19"/>
        <v/>
      </c>
      <c r="AB28" s="10" t="str">
        <f t="shared" ca="1" si="19"/>
        <v/>
      </c>
      <c r="AC28" s="10" t="str">
        <f t="shared" ca="1" si="20"/>
        <v/>
      </c>
      <c r="AD28" s="10" t="str">
        <f t="shared" ca="1" si="20"/>
        <v/>
      </c>
      <c r="AE28" s="10" t="str">
        <f t="shared" ca="1" si="20"/>
        <v/>
      </c>
      <c r="AF28" s="10" t="str">
        <f t="shared" ca="1" si="20"/>
        <v/>
      </c>
      <c r="AG28" s="10" t="str">
        <f t="shared" ca="1" si="20"/>
        <v/>
      </c>
      <c r="AH28" s="10" t="str">
        <f t="shared" ca="1" si="20"/>
        <v/>
      </c>
      <c r="AI28" s="10" t="str">
        <f t="shared" ca="1" si="20"/>
        <v/>
      </c>
      <c r="AJ28" s="10" t="str">
        <f t="shared" ca="1" si="20"/>
        <v/>
      </c>
      <c r="AK28" s="10" t="str">
        <f t="shared" ca="1" si="20"/>
        <v/>
      </c>
      <c r="AL28" s="10" t="str">
        <f t="shared" ca="1" si="20"/>
        <v/>
      </c>
      <c r="AM28" s="10" t="str">
        <f t="shared" ca="1" si="21"/>
        <v/>
      </c>
      <c r="AN28" s="10" t="str">
        <f t="shared" ca="1" si="21"/>
        <v/>
      </c>
      <c r="AO28" s="10" t="str">
        <f t="shared" ca="1" si="21"/>
        <v/>
      </c>
      <c r="AP28" s="10" t="str">
        <f t="shared" ca="1" si="21"/>
        <v/>
      </c>
      <c r="AQ28" s="10" t="str">
        <f t="shared" ca="1" si="21"/>
        <v/>
      </c>
      <c r="AR28" s="10" t="str">
        <f t="shared" ca="1" si="21"/>
        <v/>
      </c>
      <c r="AS28" s="10" t="str">
        <f t="shared" ca="1" si="21"/>
        <v/>
      </c>
      <c r="AT28" s="10" t="str">
        <f t="shared" ca="1" si="21"/>
        <v/>
      </c>
      <c r="AU28" s="10" t="str">
        <f t="shared" ca="1" si="21"/>
        <v/>
      </c>
      <c r="AV28" s="10" t="str">
        <f t="shared" ca="1" si="21"/>
        <v/>
      </c>
      <c r="AW28" s="10" t="str">
        <f t="shared" ca="1" si="22"/>
        <v/>
      </c>
      <c r="AX28" s="10" t="str">
        <f t="shared" ca="1" si="22"/>
        <v/>
      </c>
      <c r="AY28" s="10" t="str">
        <f t="shared" ca="1" si="22"/>
        <v/>
      </c>
      <c r="AZ28" s="10" t="str">
        <f t="shared" ca="1" si="22"/>
        <v/>
      </c>
      <c r="BA28" s="10" t="str">
        <f t="shared" ca="1" si="22"/>
        <v/>
      </c>
      <c r="BB28" s="10" t="str">
        <f t="shared" ca="1" si="22"/>
        <v/>
      </c>
      <c r="BC28" s="10" t="str">
        <f t="shared" ca="1" si="22"/>
        <v/>
      </c>
      <c r="BD28" s="10" t="str">
        <f t="shared" ca="1" si="22"/>
        <v/>
      </c>
      <c r="BE28" s="10" t="str">
        <f t="shared" ca="1" si="22"/>
        <v/>
      </c>
      <c r="BF28" s="10" t="str">
        <f t="shared" ca="1" si="22"/>
        <v/>
      </c>
      <c r="BG28" s="10" t="str">
        <f t="shared" ca="1" si="23"/>
        <v/>
      </c>
      <c r="BH28" s="10" t="str">
        <f t="shared" ca="1" si="23"/>
        <v/>
      </c>
      <c r="BI28" s="10" t="str">
        <f t="shared" ca="1" si="23"/>
        <v/>
      </c>
      <c r="BJ28" s="10" t="str">
        <f t="shared" ca="1" si="23"/>
        <v/>
      </c>
      <c r="BK28" s="10" t="str">
        <f t="shared" ca="1" si="23"/>
        <v/>
      </c>
      <c r="BL28" s="10" t="str">
        <f t="shared" ca="1" si="23"/>
        <v/>
      </c>
    </row>
    <row r="29" spans="1:64" s="13" customFormat="1" ht="60" customHeight="1">
      <c r="A29" s="324" t="s">
        <v>150</v>
      </c>
      <c r="B29" s="299" t="s">
        <v>152</v>
      </c>
      <c r="C29" s="299" t="s">
        <v>665</v>
      </c>
      <c r="D29" s="299" t="str">
        <f>'Dicionario EAP2'!G36</f>
        <v>Leandro Costa
João Miranda</v>
      </c>
      <c r="E29" s="300">
        <f>'Dicionario EAP2'!T36</f>
        <v>1</v>
      </c>
      <c r="F29" s="301">
        <f>'Dicionario EAP2'!I36</f>
        <v>44459</v>
      </c>
      <c r="G29" s="299">
        <v>14</v>
      </c>
      <c r="H29" s="29"/>
      <c r="I29" s="10" t="str">
        <f t="shared" ca="1" si="18"/>
        <v/>
      </c>
      <c r="J29" s="10" t="str">
        <f t="shared" ca="1" si="18"/>
        <v/>
      </c>
      <c r="K29" s="10" t="str">
        <f t="shared" ca="1" si="18"/>
        <v/>
      </c>
      <c r="L29" s="10" t="str">
        <f t="shared" ca="1" si="18"/>
        <v/>
      </c>
      <c r="M29" s="10" t="str">
        <f t="shared" ca="1" si="18"/>
        <v/>
      </c>
      <c r="N29" s="10" t="str">
        <f t="shared" ca="1" si="18"/>
        <v/>
      </c>
      <c r="O29" s="10" t="str">
        <f t="shared" ca="1" si="18"/>
        <v/>
      </c>
      <c r="P29" s="10" t="str">
        <f t="shared" ca="1" si="18"/>
        <v/>
      </c>
      <c r="Q29" s="10" t="str">
        <f t="shared" ca="1" si="18"/>
        <v/>
      </c>
      <c r="R29" s="10" t="str">
        <f t="shared" ca="1" si="18"/>
        <v/>
      </c>
      <c r="S29" s="10" t="str">
        <f t="shared" ca="1" si="19"/>
        <v/>
      </c>
      <c r="T29" s="10" t="str">
        <f t="shared" ca="1" si="19"/>
        <v/>
      </c>
      <c r="U29" s="10" t="str">
        <f t="shared" ca="1" si="19"/>
        <v/>
      </c>
      <c r="V29" s="10" t="str">
        <f t="shared" ca="1" si="19"/>
        <v/>
      </c>
      <c r="W29" s="10" t="str">
        <f t="shared" ca="1" si="19"/>
        <v/>
      </c>
      <c r="X29" s="10" t="str">
        <f t="shared" ca="1" si="19"/>
        <v/>
      </c>
      <c r="Y29" s="10" t="str">
        <f t="shared" ca="1" si="19"/>
        <v/>
      </c>
      <c r="Z29" s="10" t="str">
        <f t="shared" ca="1" si="19"/>
        <v/>
      </c>
      <c r="AA29" s="10" t="str">
        <f t="shared" ca="1" si="19"/>
        <v/>
      </c>
      <c r="AB29" s="10" t="str">
        <f t="shared" ca="1" si="19"/>
        <v/>
      </c>
      <c r="AC29" s="10" t="str">
        <f t="shared" ca="1" si="20"/>
        <v/>
      </c>
      <c r="AD29" s="10" t="str">
        <f t="shared" ca="1" si="20"/>
        <v/>
      </c>
      <c r="AE29" s="10" t="str">
        <f t="shared" ca="1" si="20"/>
        <v/>
      </c>
      <c r="AF29" s="10" t="str">
        <f t="shared" ca="1" si="20"/>
        <v/>
      </c>
      <c r="AG29" s="10" t="str">
        <f t="shared" ca="1" si="20"/>
        <v/>
      </c>
      <c r="AH29" s="10" t="str">
        <f t="shared" ca="1" si="20"/>
        <v/>
      </c>
      <c r="AI29" s="10" t="str">
        <f t="shared" ca="1" si="20"/>
        <v/>
      </c>
      <c r="AJ29" s="10" t="str">
        <f t="shared" ca="1" si="20"/>
        <v/>
      </c>
      <c r="AK29" s="10" t="str">
        <f t="shared" ca="1" si="20"/>
        <v/>
      </c>
      <c r="AL29" s="10" t="str">
        <f t="shared" ca="1" si="20"/>
        <v/>
      </c>
      <c r="AM29" s="10" t="str">
        <f t="shared" ca="1" si="21"/>
        <v/>
      </c>
      <c r="AN29" s="10" t="str">
        <f t="shared" ca="1" si="21"/>
        <v/>
      </c>
      <c r="AO29" s="10" t="str">
        <f t="shared" ca="1" si="21"/>
        <v/>
      </c>
      <c r="AP29" s="10" t="str">
        <f t="shared" ca="1" si="21"/>
        <v/>
      </c>
      <c r="AQ29" s="10" t="str">
        <f t="shared" ca="1" si="21"/>
        <v/>
      </c>
      <c r="AR29" s="10" t="str">
        <f t="shared" ca="1" si="21"/>
        <v/>
      </c>
      <c r="AS29" s="10" t="str">
        <f t="shared" ca="1" si="21"/>
        <v/>
      </c>
      <c r="AT29" s="10" t="str">
        <f t="shared" ca="1" si="21"/>
        <v/>
      </c>
      <c r="AU29" s="10" t="str">
        <f t="shared" ca="1" si="21"/>
        <v/>
      </c>
      <c r="AV29" s="10" t="str">
        <f t="shared" ca="1" si="21"/>
        <v/>
      </c>
      <c r="AW29" s="10" t="str">
        <f t="shared" ca="1" si="22"/>
        <v/>
      </c>
      <c r="AX29" s="10" t="str">
        <f t="shared" ca="1" si="22"/>
        <v/>
      </c>
      <c r="AY29" s="10" t="str">
        <f t="shared" ca="1" si="22"/>
        <v/>
      </c>
      <c r="AZ29" s="10" t="str">
        <f t="shared" ca="1" si="22"/>
        <v/>
      </c>
      <c r="BA29" s="10" t="str">
        <f t="shared" ca="1" si="22"/>
        <v/>
      </c>
      <c r="BB29" s="10" t="str">
        <f t="shared" ca="1" si="22"/>
        <v/>
      </c>
      <c r="BC29" s="10" t="str">
        <f t="shared" ca="1" si="22"/>
        <v/>
      </c>
      <c r="BD29" s="10" t="str">
        <f t="shared" ca="1" si="22"/>
        <v/>
      </c>
      <c r="BE29" s="10" t="str">
        <f t="shared" ca="1" si="22"/>
        <v/>
      </c>
      <c r="BF29" s="10" t="str">
        <f t="shared" ca="1" si="22"/>
        <v/>
      </c>
      <c r="BG29" s="10" t="str">
        <f t="shared" ca="1" si="23"/>
        <v/>
      </c>
      <c r="BH29" s="10" t="str">
        <f t="shared" ca="1" si="23"/>
        <v/>
      </c>
      <c r="BI29" s="10" t="str">
        <f t="shared" ca="1" si="23"/>
        <v/>
      </c>
      <c r="BJ29" s="10" t="str">
        <f t="shared" ca="1" si="23"/>
        <v/>
      </c>
      <c r="BK29" s="10" t="str">
        <f t="shared" ca="1" si="23"/>
        <v/>
      </c>
      <c r="BL29" s="10" t="str">
        <f t="shared" ca="1" si="23"/>
        <v/>
      </c>
    </row>
    <row r="30" spans="1:64" s="13" customFormat="1" ht="60" customHeight="1">
      <c r="A30" s="324" t="s">
        <v>159</v>
      </c>
      <c r="B30" s="299" t="s">
        <v>160</v>
      </c>
      <c r="C30" s="299" t="s">
        <v>665</v>
      </c>
      <c r="D30" s="299" t="str">
        <f>'Dicionario EAP2'!G37</f>
        <v>Leandro Costa
João Miranda</v>
      </c>
      <c r="E30" s="300">
        <f>'Dicionario EAP2'!T37</f>
        <v>1</v>
      </c>
      <c r="F30" s="301">
        <f>'Dicionario EAP2'!I37</f>
        <v>44459</v>
      </c>
      <c r="G30" s="299">
        <v>14</v>
      </c>
      <c r="H30" s="29"/>
      <c r="I30" s="10" t="str">
        <f t="shared" ca="1" si="18"/>
        <v/>
      </c>
      <c r="J30" s="10" t="str">
        <f t="shared" ca="1" si="18"/>
        <v/>
      </c>
      <c r="K30" s="10" t="str">
        <f t="shared" ca="1" si="18"/>
        <v/>
      </c>
      <c r="L30" s="10" t="str">
        <f t="shared" ca="1" si="18"/>
        <v/>
      </c>
      <c r="M30" s="10" t="str">
        <f t="shared" ca="1" si="18"/>
        <v/>
      </c>
      <c r="N30" s="10" t="str">
        <f t="shared" ca="1" si="18"/>
        <v/>
      </c>
      <c r="O30" s="10" t="str">
        <f t="shared" ca="1" si="18"/>
        <v/>
      </c>
      <c r="P30" s="10" t="str">
        <f t="shared" ca="1" si="18"/>
        <v/>
      </c>
      <c r="Q30" s="10" t="str">
        <f t="shared" ca="1" si="18"/>
        <v/>
      </c>
      <c r="R30" s="10" t="str">
        <f t="shared" ca="1" si="18"/>
        <v/>
      </c>
      <c r="S30" s="10" t="str">
        <f t="shared" ca="1" si="19"/>
        <v/>
      </c>
      <c r="T30" s="10" t="str">
        <f t="shared" ca="1" si="19"/>
        <v/>
      </c>
      <c r="U30" s="10" t="str">
        <f t="shared" ca="1" si="19"/>
        <v/>
      </c>
      <c r="V30" s="10" t="str">
        <f t="shared" ca="1" si="19"/>
        <v/>
      </c>
      <c r="W30" s="10" t="str">
        <f t="shared" ca="1" si="19"/>
        <v/>
      </c>
      <c r="X30" s="10" t="str">
        <f t="shared" ca="1" si="19"/>
        <v/>
      </c>
      <c r="Y30" s="10" t="str">
        <f t="shared" ca="1" si="19"/>
        <v/>
      </c>
      <c r="Z30" s="10" t="str">
        <f t="shared" ca="1" si="19"/>
        <v/>
      </c>
      <c r="AA30" s="10" t="str">
        <f t="shared" ca="1" si="19"/>
        <v/>
      </c>
      <c r="AB30" s="10" t="str">
        <f t="shared" ca="1" si="19"/>
        <v/>
      </c>
      <c r="AC30" s="10" t="str">
        <f t="shared" ca="1" si="20"/>
        <v/>
      </c>
      <c r="AD30" s="10" t="str">
        <f t="shared" ca="1" si="20"/>
        <v/>
      </c>
      <c r="AE30" s="10" t="str">
        <f t="shared" ca="1" si="20"/>
        <v/>
      </c>
      <c r="AF30" s="10" t="str">
        <f t="shared" ca="1" si="20"/>
        <v/>
      </c>
      <c r="AG30" s="10" t="str">
        <f t="shared" ca="1" si="20"/>
        <v/>
      </c>
      <c r="AH30" s="10" t="str">
        <f t="shared" ca="1" si="20"/>
        <v/>
      </c>
      <c r="AI30" s="10" t="str">
        <f t="shared" ca="1" si="20"/>
        <v/>
      </c>
      <c r="AJ30" s="10" t="str">
        <f t="shared" ca="1" si="20"/>
        <v/>
      </c>
      <c r="AK30" s="10" t="str">
        <f t="shared" ca="1" si="20"/>
        <v/>
      </c>
      <c r="AL30" s="10" t="str">
        <f t="shared" ca="1" si="20"/>
        <v/>
      </c>
      <c r="AM30" s="10" t="str">
        <f t="shared" ca="1" si="21"/>
        <v/>
      </c>
      <c r="AN30" s="10" t="str">
        <f t="shared" ca="1" si="21"/>
        <v/>
      </c>
      <c r="AO30" s="10" t="str">
        <f t="shared" ca="1" si="21"/>
        <v/>
      </c>
      <c r="AP30" s="10" t="str">
        <f t="shared" ca="1" si="21"/>
        <v/>
      </c>
      <c r="AQ30" s="10" t="str">
        <f t="shared" ca="1" si="21"/>
        <v/>
      </c>
      <c r="AR30" s="10" t="str">
        <f t="shared" ca="1" si="21"/>
        <v/>
      </c>
      <c r="AS30" s="10" t="str">
        <f t="shared" ca="1" si="21"/>
        <v/>
      </c>
      <c r="AT30" s="10" t="str">
        <f t="shared" ca="1" si="21"/>
        <v/>
      </c>
      <c r="AU30" s="10" t="str">
        <f t="shared" ca="1" si="21"/>
        <v/>
      </c>
      <c r="AV30" s="10" t="str">
        <f t="shared" ca="1" si="21"/>
        <v/>
      </c>
      <c r="AW30" s="10" t="str">
        <f t="shared" ca="1" si="22"/>
        <v/>
      </c>
      <c r="AX30" s="10" t="str">
        <f t="shared" ca="1" si="22"/>
        <v/>
      </c>
      <c r="AY30" s="10" t="str">
        <f t="shared" ca="1" si="22"/>
        <v/>
      </c>
      <c r="AZ30" s="10" t="str">
        <f t="shared" ca="1" si="22"/>
        <v/>
      </c>
      <c r="BA30" s="10" t="str">
        <f t="shared" ca="1" si="22"/>
        <v/>
      </c>
      <c r="BB30" s="10" t="str">
        <f t="shared" ca="1" si="22"/>
        <v/>
      </c>
      <c r="BC30" s="10" t="str">
        <f t="shared" ca="1" si="22"/>
        <v/>
      </c>
      <c r="BD30" s="10" t="str">
        <f t="shared" ca="1" si="22"/>
        <v/>
      </c>
      <c r="BE30" s="10" t="str">
        <f t="shared" ca="1" si="22"/>
        <v/>
      </c>
      <c r="BF30" s="10" t="str">
        <f t="shared" ca="1" si="22"/>
        <v/>
      </c>
      <c r="BG30" s="10" t="str">
        <f t="shared" ca="1" si="23"/>
        <v/>
      </c>
      <c r="BH30" s="10" t="str">
        <f t="shared" ca="1" si="23"/>
        <v/>
      </c>
      <c r="BI30" s="10" t="str">
        <f t="shared" ca="1" si="23"/>
        <v/>
      </c>
      <c r="BJ30" s="10" t="str">
        <f t="shared" ca="1" si="23"/>
        <v/>
      </c>
      <c r="BK30" s="10" t="str">
        <f t="shared" ca="1" si="23"/>
        <v/>
      </c>
      <c r="BL30" s="10" t="str">
        <f t="shared" ca="1" si="23"/>
        <v/>
      </c>
    </row>
    <row r="31" spans="1:64" s="13" customFormat="1" ht="60" customHeight="1">
      <c r="A31" s="325" t="s">
        <v>166</v>
      </c>
      <c r="B31" s="302" t="s">
        <v>168</v>
      </c>
      <c r="C31" s="302" t="s">
        <v>665</v>
      </c>
      <c r="D31" s="302" t="s">
        <v>679</v>
      </c>
      <c r="E31" s="303">
        <f>'Dicionario EAP2'!T38</f>
        <v>1</v>
      </c>
      <c r="F31" s="304">
        <f>'Dicionario EAP2'!I38</f>
        <v>44461</v>
      </c>
      <c r="G31" s="302">
        <v>2</v>
      </c>
      <c r="H31" s="29"/>
      <c r="I31" s="10" t="str">
        <f t="shared" ref="I31:J41" ca="1" si="24">IF(AND($C31="Objetivo",I$5&gt;=$F31,I$5&lt;=$F31+$G31-1),2,IF(AND($C31="Marco",I$5&gt;=$F31,I$5&lt;=$F31+$G31-1),1,""))</f>
        <v/>
      </c>
      <c r="J31" s="10" t="str">
        <f t="shared" ca="1" si="24"/>
        <v/>
      </c>
      <c r="K31" s="10"/>
      <c r="L31" s="10" t="str">
        <f t="shared" ref="L31:U41" ca="1" si="25">IF(AND($C31="Objetivo",L$5&gt;=$F31,L$5&lt;=$F31+$G31-1),2,IF(AND($C31="Marco",L$5&gt;=$F31,L$5&lt;=$F31+$G31-1),1,""))</f>
        <v/>
      </c>
      <c r="M31" s="10" t="str">
        <f t="shared" ca="1" si="25"/>
        <v/>
      </c>
      <c r="N31" s="10" t="str">
        <f t="shared" ca="1" si="25"/>
        <v/>
      </c>
      <c r="O31" s="10" t="str">
        <f t="shared" ca="1" si="25"/>
        <v/>
      </c>
      <c r="P31" s="10" t="str">
        <f t="shared" ca="1" si="25"/>
        <v/>
      </c>
      <c r="Q31" s="10" t="str">
        <f t="shared" ca="1" si="25"/>
        <v/>
      </c>
      <c r="R31" s="10" t="str">
        <f t="shared" ca="1" si="25"/>
        <v/>
      </c>
      <c r="S31" s="10" t="str">
        <f t="shared" ca="1" si="25"/>
        <v/>
      </c>
      <c r="T31" s="10" t="str">
        <f t="shared" ca="1" si="25"/>
        <v/>
      </c>
      <c r="U31" s="10" t="str">
        <f t="shared" ca="1" si="25"/>
        <v/>
      </c>
      <c r="V31" s="10" t="str">
        <f t="shared" ref="V31:AE41" ca="1" si="26">IF(AND($C31="Objetivo",V$5&gt;=$F31,V$5&lt;=$F31+$G31-1),2,IF(AND($C31="Marco",V$5&gt;=$F31,V$5&lt;=$F31+$G31-1),1,""))</f>
        <v/>
      </c>
      <c r="W31" s="10" t="str">
        <f t="shared" ca="1" si="26"/>
        <v/>
      </c>
      <c r="X31" s="10" t="str">
        <f t="shared" ca="1" si="26"/>
        <v/>
      </c>
      <c r="Y31" s="10" t="str">
        <f t="shared" ca="1" si="26"/>
        <v/>
      </c>
      <c r="Z31" s="10" t="str">
        <f t="shared" ca="1" si="26"/>
        <v/>
      </c>
      <c r="AA31" s="10" t="str">
        <f t="shared" ca="1" si="26"/>
        <v/>
      </c>
      <c r="AB31" s="10" t="str">
        <f t="shared" ca="1" si="26"/>
        <v/>
      </c>
      <c r="AC31" s="10" t="str">
        <f t="shared" ca="1" si="26"/>
        <v/>
      </c>
      <c r="AD31" s="10" t="str">
        <f t="shared" ca="1" si="26"/>
        <v/>
      </c>
      <c r="AE31" s="10" t="str">
        <f t="shared" ca="1" si="26"/>
        <v/>
      </c>
      <c r="AF31" s="10" t="str">
        <f t="shared" ref="AF31:AO41" ca="1" si="27">IF(AND($C31="Objetivo",AF$5&gt;=$F31,AF$5&lt;=$F31+$G31-1),2,IF(AND($C31="Marco",AF$5&gt;=$F31,AF$5&lt;=$F31+$G31-1),1,""))</f>
        <v/>
      </c>
      <c r="AG31" s="10" t="str">
        <f t="shared" ca="1" si="27"/>
        <v/>
      </c>
      <c r="AH31" s="10" t="str">
        <f t="shared" ca="1" si="27"/>
        <v/>
      </c>
      <c r="AI31" s="10" t="str">
        <f t="shared" ca="1" si="27"/>
        <v/>
      </c>
      <c r="AJ31" s="10" t="str">
        <f t="shared" ca="1" si="27"/>
        <v/>
      </c>
      <c r="AK31" s="10" t="str">
        <f t="shared" ca="1" si="27"/>
        <v/>
      </c>
      <c r="AL31" s="10" t="str">
        <f t="shared" ca="1" si="27"/>
        <v/>
      </c>
      <c r="AM31" s="10" t="str">
        <f t="shared" ca="1" si="27"/>
        <v/>
      </c>
      <c r="AN31" s="10" t="str">
        <f t="shared" ca="1" si="27"/>
        <v/>
      </c>
      <c r="AO31" s="10" t="str">
        <f t="shared" ca="1" si="27"/>
        <v/>
      </c>
      <c r="AP31" s="10" t="str">
        <f t="shared" ref="AP31:AY41" ca="1" si="28">IF(AND($C31="Objetivo",AP$5&gt;=$F31,AP$5&lt;=$F31+$G31-1),2,IF(AND($C31="Marco",AP$5&gt;=$F31,AP$5&lt;=$F31+$G31-1),1,""))</f>
        <v/>
      </c>
      <c r="AQ31" s="10" t="str">
        <f t="shared" ca="1" si="28"/>
        <v/>
      </c>
      <c r="AR31" s="10" t="str">
        <f t="shared" ca="1" si="28"/>
        <v/>
      </c>
      <c r="AS31" s="10" t="str">
        <f t="shared" ca="1" si="28"/>
        <v/>
      </c>
      <c r="AT31" s="10" t="str">
        <f t="shared" ca="1" si="28"/>
        <v/>
      </c>
      <c r="AU31" s="10" t="str">
        <f t="shared" ca="1" si="28"/>
        <v/>
      </c>
      <c r="AV31" s="10" t="str">
        <f t="shared" ca="1" si="28"/>
        <v/>
      </c>
      <c r="AW31" s="10" t="str">
        <f t="shared" ca="1" si="28"/>
        <v/>
      </c>
      <c r="AX31" s="10" t="str">
        <f t="shared" ca="1" si="28"/>
        <v/>
      </c>
      <c r="AY31" s="10" t="str">
        <f t="shared" ca="1" si="28"/>
        <v/>
      </c>
      <c r="AZ31" s="10" t="str">
        <f t="shared" ref="AZ31:BL41" ca="1" si="29">IF(AND($C31="Objetivo",AZ$5&gt;=$F31,AZ$5&lt;=$F31+$G31-1),2,IF(AND($C31="Marco",AZ$5&gt;=$F31,AZ$5&lt;=$F31+$G31-1),1,""))</f>
        <v/>
      </c>
      <c r="BA31" s="10" t="str">
        <f t="shared" ca="1" si="29"/>
        <v/>
      </c>
      <c r="BB31" s="10" t="str">
        <f t="shared" ca="1" si="29"/>
        <v/>
      </c>
      <c r="BC31" s="10" t="str">
        <f t="shared" ca="1" si="29"/>
        <v/>
      </c>
      <c r="BD31" s="10" t="str">
        <f t="shared" ca="1" si="29"/>
        <v/>
      </c>
      <c r="BE31" s="10" t="str">
        <f t="shared" ca="1" si="29"/>
        <v/>
      </c>
      <c r="BF31" s="10" t="str">
        <f t="shared" ca="1" si="29"/>
        <v/>
      </c>
      <c r="BG31" s="10" t="str">
        <f t="shared" ca="1" si="29"/>
        <v/>
      </c>
      <c r="BH31" s="10" t="str">
        <f t="shared" ca="1" si="29"/>
        <v/>
      </c>
      <c r="BI31" s="10" t="str">
        <f t="shared" ca="1" si="29"/>
        <v/>
      </c>
      <c r="BJ31" s="10" t="str">
        <f t="shared" ca="1" si="29"/>
        <v/>
      </c>
      <c r="BK31" s="10" t="str">
        <f t="shared" ca="1" si="29"/>
        <v/>
      </c>
      <c r="BL31" s="10" t="str">
        <f t="shared" ca="1" si="29"/>
        <v/>
      </c>
    </row>
    <row r="32" spans="1:64" s="13" customFormat="1" ht="60" customHeight="1">
      <c r="A32" s="325" t="s">
        <v>174</v>
      </c>
      <c r="B32" s="302" t="s">
        <v>175</v>
      </c>
      <c r="C32" s="302" t="s">
        <v>664</v>
      </c>
      <c r="D32" s="302" t="s">
        <v>679</v>
      </c>
      <c r="E32" s="303">
        <f>'Dicionario EAP2'!T39</f>
        <v>1</v>
      </c>
      <c r="F32" s="304">
        <f>'Dicionario EAP2'!I39</f>
        <v>44462</v>
      </c>
      <c r="G32" s="302">
        <v>1</v>
      </c>
      <c r="H32" s="29"/>
      <c r="I32" s="10" t="str">
        <f t="shared" ca="1" si="24"/>
        <v/>
      </c>
      <c r="J32" s="10" t="str">
        <f t="shared" ca="1" si="24"/>
        <v/>
      </c>
      <c r="K32" s="10" t="str">
        <f t="shared" ref="K32:K41" ca="1" si="30">IF(AND($C32="Objetivo",K$5&gt;=$F32,K$5&lt;=$F32+$G32-1),2,IF(AND($C32="Marco",K$5&gt;=$F32,K$5&lt;=$F32+$G32-1),1,""))</f>
        <v/>
      </c>
      <c r="L32" s="10" t="str">
        <f t="shared" ca="1" si="25"/>
        <v/>
      </c>
      <c r="M32" s="10" t="str">
        <f t="shared" ca="1" si="25"/>
        <v/>
      </c>
      <c r="N32" s="10" t="str">
        <f t="shared" ca="1" si="25"/>
        <v/>
      </c>
      <c r="O32" s="10" t="str">
        <f t="shared" ca="1" si="25"/>
        <v/>
      </c>
      <c r="P32" s="10" t="str">
        <f t="shared" ca="1" si="25"/>
        <v/>
      </c>
      <c r="Q32" s="10" t="str">
        <f t="shared" ca="1" si="25"/>
        <v/>
      </c>
      <c r="R32" s="10" t="str">
        <f t="shared" ca="1" si="25"/>
        <v/>
      </c>
      <c r="S32" s="10" t="str">
        <f t="shared" ca="1" si="25"/>
        <v/>
      </c>
      <c r="T32" s="10" t="str">
        <f t="shared" ca="1" si="25"/>
        <v/>
      </c>
      <c r="U32" s="10" t="str">
        <f t="shared" ca="1" si="25"/>
        <v/>
      </c>
      <c r="V32" s="10" t="str">
        <f t="shared" ca="1" si="26"/>
        <v/>
      </c>
      <c r="W32" s="10" t="str">
        <f t="shared" ca="1" si="26"/>
        <v/>
      </c>
      <c r="X32" s="10" t="str">
        <f t="shared" ca="1" si="26"/>
        <v/>
      </c>
      <c r="Y32" s="10" t="str">
        <f t="shared" ca="1" si="26"/>
        <v/>
      </c>
      <c r="Z32" s="10" t="str">
        <f t="shared" ca="1" si="26"/>
        <v/>
      </c>
      <c r="AA32" s="10" t="str">
        <f t="shared" ca="1" si="26"/>
        <v/>
      </c>
      <c r="AB32" s="10" t="str">
        <f t="shared" ca="1" si="26"/>
        <v/>
      </c>
      <c r="AC32" s="10" t="str">
        <f t="shared" ca="1" si="26"/>
        <v/>
      </c>
      <c r="AD32" s="10" t="str">
        <f t="shared" ca="1" si="26"/>
        <v/>
      </c>
      <c r="AE32" s="10" t="str">
        <f t="shared" ca="1" si="26"/>
        <v/>
      </c>
      <c r="AF32" s="10" t="str">
        <f t="shared" ca="1" si="27"/>
        <v/>
      </c>
      <c r="AG32" s="10" t="str">
        <f t="shared" ca="1" si="27"/>
        <v/>
      </c>
      <c r="AH32" s="10" t="str">
        <f t="shared" ca="1" si="27"/>
        <v/>
      </c>
      <c r="AI32" s="10" t="str">
        <f t="shared" ca="1" si="27"/>
        <v/>
      </c>
      <c r="AJ32" s="10" t="str">
        <f t="shared" ca="1" si="27"/>
        <v/>
      </c>
      <c r="AK32" s="10" t="str">
        <f t="shared" ca="1" si="27"/>
        <v/>
      </c>
      <c r="AL32" s="10" t="str">
        <f t="shared" ca="1" si="27"/>
        <v/>
      </c>
      <c r="AM32" s="10" t="str">
        <f t="shared" ca="1" si="27"/>
        <v/>
      </c>
      <c r="AN32" s="10" t="str">
        <f t="shared" ca="1" si="27"/>
        <v/>
      </c>
      <c r="AO32" s="10" t="str">
        <f t="shared" ca="1" si="27"/>
        <v/>
      </c>
      <c r="AP32" s="10" t="str">
        <f t="shared" ca="1" si="28"/>
        <v/>
      </c>
      <c r="AQ32" s="10" t="str">
        <f t="shared" ca="1" si="28"/>
        <v/>
      </c>
      <c r="AR32" s="10" t="str">
        <f t="shared" ca="1" si="28"/>
        <v/>
      </c>
      <c r="AS32" s="10" t="str">
        <f t="shared" ca="1" si="28"/>
        <v/>
      </c>
      <c r="AT32" s="10" t="str">
        <f t="shared" ca="1" si="28"/>
        <v/>
      </c>
      <c r="AU32" s="10" t="str">
        <f t="shared" ca="1" si="28"/>
        <v/>
      </c>
      <c r="AV32" s="10" t="str">
        <f t="shared" ca="1" si="28"/>
        <v/>
      </c>
      <c r="AW32" s="198" t="str">
        <f t="shared" ca="1" si="28"/>
        <v/>
      </c>
      <c r="AX32" s="198" t="str">
        <f t="shared" ca="1" si="28"/>
        <v/>
      </c>
      <c r="AY32" s="10" t="str">
        <f t="shared" ca="1" si="28"/>
        <v/>
      </c>
      <c r="AZ32" s="10" t="str">
        <f t="shared" ca="1" si="29"/>
        <v/>
      </c>
      <c r="BA32" s="10" t="str">
        <f t="shared" ca="1" si="29"/>
        <v/>
      </c>
      <c r="BB32" s="10" t="str">
        <f t="shared" ca="1" si="29"/>
        <v/>
      </c>
      <c r="BC32" s="10" t="str">
        <f t="shared" ca="1" si="29"/>
        <v/>
      </c>
      <c r="BD32" s="10" t="str">
        <f t="shared" ca="1" si="29"/>
        <v/>
      </c>
      <c r="BE32" s="10" t="str">
        <f t="shared" ca="1" si="29"/>
        <v/>
      </c>
      <c r="BF32" s="10" t="str">
        <f t="shared" ca="1" si="29"/>
        <v/>
      </c>
      <c r="BG32" s="10" t="str">
        <f t="shared" ca="1" si="29"/>
        <v/>
      </c>
      <c r="BH32" s="10" t="str">
        <f t="shared" ca="1" si="29"/>
        <v/>
      </c>
      <c r="BI32" s="10" t="str">
        <f t="shared" ca="1" si="29"/>
        <v/>
      </c>
      <c r="BJ32" s="10" t="str">
        <f t="shared" ca="1" si="29"/>
        <v/>
      </c>
      <c r="BK32" s="10" t="str">
        <f t="shared" ca="1" si="29"/>
        <v/>
      </c>
      <c r="BL32" s="10" t="str">
        <f t="shared" ca="1" si="29"/>
        <v/>
      </c>
    </row>
    <row r="33" spans="1:64" s="13" customFormat="1" ht="60" customHeight="1">
      <c r="A33" s="325" t="s">
        <v>180</v>
      </c>
      <c r="B33" s="302" t="s">
        <v>182</v>
      </c>
      <c r="C33" s="302" t="s">
        <v>664</v>
      </c>
      <c r="D33" s="302" t="s">
        <v>679</v>
      </c>
      <c r="E33" s="303">
        <f>'Dicionario EAP2'!T40</f>
        <v>1</v>
      </c>
      <c r="F33" s="304">
        <f>'Dicionario EAP2'!I40</f>
        <v>44462</v>
      </c>
      <c r="G33" s="302">
        <v>1</v>
      </c>
      <c r="H33" s="29"/>
      <c r="I33" s="10" t="str">
        <f t="shared" ca="1" si="24"/>
        <v/>
      </c>
      <c r="J33" s="10" t="str">
        <f t="shared" ca="1" si="24"/>
        <v/>
      </c>
      <c r="K33" s="10" t="str">
        <f t="shared" ca="1" si="30"/>
        <v/>
      </c>
      <c r="L33" s="10" t="str">
        <f t="shared" ca="1" si="25"/>
        <v/>
      </c>
      <c r="M33" s="10" t="str">
        <f t="shared" ca="1" si="25"/>
        <v/>
      </c>
      <c r="N33" s="10" t="str">
        <f t="shared" ca="1" si="25"/>
        <v/>
      </c>
      <c r="O33" s="10" t="str">
        <f t="shared" ca="1" si="25"/>
        <v/>
      </c>
      <c r="P33" s="10" t="str">
        <f t="shared" ca="1" si="25"/>
        <v/>
      </c>
      <c r="Q33" s="10" t="str">
        <f t="shared" ca="1" si="25"/>
        <v/>
      </c>
      <c r="R33" s="10" t="str">
        <f t="shared" ca="1" si="25"/>
        <v/>
      </c>
      <c r="S33" s="10" t="str">
        <f t="shared" ca="1" si="25"/>
        <v/>
      </c>
      <c r="T33" s="10" t="str">
        <f t="shared" ca="1" si="25"/>
        <v/>
      </c>
      <c r="U33" s="10" t="str">
        <f t="shared" ca="1" si="25"/>
        <v/>
      </c>
      <c r="V33" s="10" t="str">
        <f t="shared" ca="1" si="26"/>
        <v/>
      </c>
      <c r="W33" s="10" t="str">
        <f t="shared" ca="1" si="26"/>
        <v/>
      </c>
      <c r="X33" s="10" t="str">
        <f t="shared" ca="1" si="26"/>
        <v/>
      </c>
      <c r="Y33" s="10" t="str">
        <f t="shared" ca="1" si="26"/>
        <v/>
      </c>
      <c r="Z33" s="10" t="str">
        <f t="shared" ca="1" si="26"/>
        <v/>
      </c>
      <c r="AA33" s="10" t="str">
        <f t="shared" ca="1" si="26"/>
        <v/>
      </c>
      <c r="AB33" s="10" t="str">
        <f t="shared" ca="1" si="26"/>
        <v/>
      </c>
      <c r="AC33" s="10" t="str">
        <f t="shared" ca="1" si="26"/>
        <v/>
      </c>
      <c r="AD33" s="10" t="str">
        <f t="shared" ca="1" si="26"/>
        <v/>
      </c>
      <c r="AE33" s="10" t="str">
        <f t="shared" ca="1" si="26"/>
        <v/>
      </c>
      <c r="AF33" s="10" t="str">
        <f t="shared" ca="1" si="27"/>
        <v/>
      </c>
      <c r="AG33" s="10" t="str">
        <f t="shared" ca="1" si="27"/>
        <v/>
      </c>
      <c r="AH33" s="10" t="str">
        <f t="shared" ca="1" si="27"/>
        <v/>
      </c>
      <c r="AI33" s="10" t="str">
        <f t="shared" ca="1" si="27"/>
        <v/>
      </c>
      <c r="AJ33" s="10" t="str">
        <f t="shared" ca="1" si="27"/>
        <v/>
      </c>
      <c r="AK33" s="10" t="str">
        <f t="shared" ca="1" si="27"/>
        <v/>
      </c>
      <c r="AL33" s="10" t="str">
        <f t="shared" ca="1" si="27"/>
        <v/>
      </c>
      <c r="AM33" s="10" t="str">
        <f t="shared" ca="1" si="27"/>
        <v/>
      </c>
      <c r="AN33" s="10" t="str">
        <f t="shared" ca="1" si="27"/>
        <v/>
      </c>
      <c r="AO33" s="10" t="str">
        <f t="shared" ca="1" si="27"/>
        <v/>
      </c>
      <c r="AP33" s="10" t="str">
        <f t="shared" ca="1" si="28"/>
        <v/>
      </c>
      <c r="AQ33" s="10" t="str">
        <f t="shared" ca="1" si="28"/>
        <v/>
      </c>
      <c r="AR33" s="10" t="str">
        <f t="shared" ca="1" si="28"/>
        <v/>
      </c>
      <c r="AS33" s="10" t="str">
        <f t="shared" ca="1" si="28"/>
        <v/>
      </c>
      <c r="AT33" s="10" t="str">
        <f t="shared" ca="1" si="28"/>
        <v/>
      </c>
      <c r="AU33" s="10" t="str">
        <f t="shared" ca="1" si="28"/>
        <v/>
      </c>
      <c r="AV33" s="10" t="str">
        <f t="shared" ca="1" si="28"/>
        <v/>
      </c>
      <c r="AW33" s="198" t="str">
        <f t="shared" ca="1" si="28"/>
        <v/>
      </c>
      <c r="AX33" s="198" t="str">
        <f t="shared" ca="1" si="28"/>
        <v/>
      </c>
      <c r="AY33" s="198" t="str">
        <f t="shared" ca="1" si="28"/>
        <v/>
      </c>
      <c r="AZ33" s="10" t="str">
        <f t="shared" ca="1" si="29"/>
        <v/>
      </c>
      <c r="BA33" s="10" t="str">
        <f t="shared" ca="1" si="29"/>
        <v/>
      </c>
      <c r="BB33" s="10" t="str">
        <f t="shared" ca="1" si="29"/>
        <v/>
      </c>
      <c r="BC33" s="10" t="str">
        <f t="shared" ca="1" si="29"/>
        <v/>
      </c>
      <c r="BD33" s="10" t="str">
        <f t="shared" ca="1" si="29"/>
        <v/>
      </c>
      <c r="BE33" s="10" t="str">
        <f t="shared" ca="1" si="29"/>
        <v/>
      </c>
      <c r="BF33" s="10" t="str">
        <f t="shared" ca="1" si="29"/>
        <v/>
      </c>
      <c r="BG33" s="10" t="str">
        <f t="shared" ca="1" si="29"/>
        <v/>
      </c>
      <c r="BH33" s="10" t="str">
        <f t="shared" ca="1" si="29"/>
        <v/>
      </c>
      <c r="BI33" s="10" t="str">
        <f t="shared" ca="1" si="29"/>
        <v/>
      </c>
      <c r="BJ33" s="10" t="str">
        <f t="shared" ca="1" si="29"/>
        <v/>
      </c>
      <c r="BK33" s="10" t="str">
        <f t="shared" ca="1" si="29"/>
        <v/>
      </c>
      <c r="BL33" s="10" t="str">
        <f t="shared" ca="1" si="29"/>
        <v/>
      </c>
    </row>
    <row r="34" spans="1:64" s="13" customFormat="1" ht="60" customHeight="1">
      <c r="A34" s="325" t="s">
        <v>187</v>
      </c>
      <c r="B34" s="302" t="s">
        <v>532</v>
      </c>
      <c r="C34" s="302" t="s">
        <v>665</v>
      </c>
      <c r="D34" s="302" t="s">
        <v>679</v>
      </c>
      <c r="E34" s="303">
        <f>'Dicionario EAP2'!T41</f>
        <v>1</v>
      </c>
      <c r="F34" s="304">
        <f>'Dicionario EAP2'!I41</f>
        <v>44462</v>
      </c>
      <c r="G34" s="302">
        <v>1</v>
      </c>
      <c r="H34" s="29"/>
      <c r="I34" s="10" t="str">
        <f t="shared" ca="1" si="24"/>
        <v/>
      </c>
      <c r="J34" s="10" t="str">
        <f t="shared" ca="1" si="24"/>
        <v/>
      </c>
      <c r="K34" s="10" t="str">
        <f t="shared" ca="1" si="30"/>
        <v/>
      </c>
      <c r="L34" s="10" t="str">
        <f t="shared" ca="1" si="25"/>
        <v/>
      </c>
      <c r="M34" s="10" t="str">
        <f t="shared" ca="1" si="25"/>
        <v/>
      </c>
      <c r="N34" s="10" t="str">
        <f t="shared" ca="1" si="25"/>
        <v/>
      </c>
      <c r="O34" s="10" t="str">
        <f t="shared" ca="1" si="25"/>
        <v/>
      </c>
      <c r="P34" s="10" t="str">
        <f t="shared" ca="1" si="25"/>
        <v/>
      </c>
      <c r="Q34" s="10" t="str">
        <f t="shared" ca="1" si="25"/>
        <v/>
      </c>
      <c r="R34" s="10" t="str">
        <f t="shared" ca="1" si="25"/>
        <v/>
      </c>
      <c r="S34" s="10" t="str">
        <f t="shared" ca="1" si="25"/>
        <v/>
      </c>
      <c r="T34" s="10" t="str">
        <f t="shared" ca="1" si="25"/>
        <v/>
      </c>
      <c r="U34" s="10" t="str">
        <f t="shared" ca="1" si="25"/>
        <v/>
      </c>
      <c r="V34" s="10" t="str">
        <f t="shared" ca="1" si="26"/>
        <v/>
      </c>
      <c r="W34" s="10" t="str">
        <f t="shared" ca="1" si="26"/>
        <v/>
      </c>
      <c r="X34" s="10" t="str">
        <f t="shared" ca="1" si="26"/>
        <v/>
      </c>
      <c r="Y34" s="10" t="str">
        <f t="shared" ca="1" si="26"/>
        <v/>
      </c>
      <c r="Z34" s="10" t="str">
        <f t="shared" ca="1" si="26"/>
        <v/>
      </c>
      <c r="AA34" s="10" t="str">
        <f t="shared" ca="1" si="26"/>
        <v/>
      </c>
      <c r="AB34" s="10" t="str">
        <f t="shared" ca="1" si="26"/>
        <v/>
      </c>
      <c r="AC34" s="10" t="str">
        <f t="shared" ca="1" si="26"/>
        <v/>
      </c>
      <c r="AD34" s="10" t="str">
        <f t="shared" ca="1" si="26"/>
        <v/>
      </c>
      <c r="AE34" s="10" t="str">
        <f t="shared" ca="1" si="26"/>
        <v/>
      </c>
      <c r="AF34" s="10" t="str">
        <f t="shared" ca="1" si="27"/>
        <v/>
      </c>
      <c r="AG34" s="10" t="str">
        <f t="shared" ca="1" si="27"/>
        <v/>
      </c>
      <c r="AH34" s="10" t="str">
        <f t="shared" ca="1" si="27"/>
        <v/>
      </c>
      <c r="AI34" s="10" t="str">
        <f t="shared" ca="1" si="27"/>
        <v/>
      </c>
      <c r="AJ34" s="10" t="str">
        <f t="shared" ca="1" si="27"/>
        <v/>
      </c>
      <c r="AK34" s="10" t="str">
        <f t="shared" ca="1" si="27"/>
        <v/>
      </c>
      <c r="AL34" s="10" t="str">
        <f t="shared" ca="1" si="27"/>
        <v/>
      </c>
      <c r="AM34" s="10" t="str">
        <f t="shared" ca="1" si="27"/>
        <v/>
      </c>
      <c r="AN34" s="10" t="str">
        <f t="shared" ca="1" si="27"/>
        <v/>
      </c>
      <c r="AO34" s="10" t="str">
        <f t="shared" ca="1" si="27"/>
        <v/>
      </c>
      <c r="AP34" s="10" t="str">
        <f t="shared" ca="1" si="28"/>
        <v/>
      </c>
      <c r="AQ34" s="10" t="str">
        <f t="shared" ca="1" si="28"/>
        <v/>
      </c>
      <c r="AR34" s="10" t="str">
        <f t="shared" ca="1" si="28"/>
        <v/>
      </c>
      <c r="AS34" s="10" t="str">
        <f t="shared" ca="1" si="28"/>
        <v/>
      </c>
      <c r="AT34" s="10" t="str">
        <f t="shared" ca="1" si="28"/>
        <v/>
      </c>
      <c r="AU34" s="10" t="str">
        <f t="shared" ca="1" si="28"/>
        <v/>
      </c>
      <c r="AV34" s="10" t="str">
        <f t="shared" ca="1" si="28"/>
        <v/>
      </c>
      <c r="AW34" s="199" t="str">
        <f t="shared" ca="1" si="28"/>
        <v/>
      </c>
      <c r="AX34" s="199" t="str">
        <f t="shared" ca="1" si="28"/>
        <v/>
      </c>
      <c r="AY34" s="199" t="str">
        <f t="shared" ca="1" si="28"/>
        <v/>
      </c>
      <c r="AZ34" s="10" t="str">
        <f t="shared" ca="1" si="29"/>
        <v/>
      </c>
      <c r="BA34" s="10" t="str">
        <f t="shared" ca="1" si="29"/>
        <v/>
      </c>
      <c r="BB34" s="10" t="str">
        <f t="shared" ca="1" si="29"/>
        <v/>
      </c>
      <c r="BC34" s="10" t="str">
        <f t="shared" ca="1" si="29"/>
        <v/>
      </c>
      <c r="BD34" s="10" t="str">
        <f t="shared" ca="1" si="29"/>
        <v/>
      </c>
      <c r="BE34" s="10" t="str">
        <f t="shared" ca="1" si="29"/>
        <v/>
      </c>
      <c r="BF34" s="10" t="str">
        <f t="shared" ca="1" si="29"/>
        <v/>
      </c>
      <c r="BG34" s="10" t="str">
        <f t="shared" ca="1" si="29"/>
        <v/>
      </c>
      <c r="BH34" s="10" t="str">
        <f t="shared" ca="1" si="29"/>
        <v/>
      </c>
      <c r="BI34" s="10" t="str">
        <f t="shared" ca="1" si="29"/>
        <v/>
      </c>
      <c r="BJ34" s="10" t="str">
        <f t="shared" ca="1" si="29"/>
        <v/>
      </c>
      <c r="BK34" s="10" t="str">
        <f t="shared" ca="1" si="29"/>
        <v/>
      </c>
      <c r="BL34" s="10" t="str">
        <f t="shared" ca="1" si="29"/>
        <v/>
      </c>
    </row>
    <row r="35" spans="1:64" s="13" customFormat="1" ht="60" customHeight="1">
      <c r="A35" s="326" t="s">
        <v>194</v>
      </c>
      <c r="B35" s="305" t="s">
        <v>168</v>
      </c>
      <c r="C35" s="305" t="s">
        <v>664</v>
      </c>
      <c r="D35" s="305" t="str">
        <f>'Dicionario EAP2'!G42</f>
        <v>Cosme Sousa
Damião Sousa
Pétrick Gomes
Nilton Guerra</v>
      </c>
      <c r="E35" s="306">
        <f>'Dicionario EAP2'!T42</f>
        <v>1</v>
      </c>
      <c r="F35" s="307">
        <f>'Dicionario EAP2'!I42</f>
        <v>44463</v>
      </c>
      <c r="G35" s="305">
        <v>1</v>
      </c>
      <c r="H35" s="29"/>
      <c r="I35" s="10" t="str">
        <f t="shared" ca="1" si="24"/>
        <v/>
      </c>
      <c r="J35" s="10" t="str">
        <f t="shared" ca="1" si="24"/>
        <v/>
      </c>
      <c r="K35" s="10" t="str">
        <f t="shared" ca="1" si="30"/>
        <v/>
      </c>
      <c r="L35" s="10" t="str">
        <f t="shared" ca="1" si="25"/>
        <v/>
      </c>
      <c r="M35" s="10" t="str">
        <f t="shared" ca="1" si="25"/>
        <v/>
      </c>
      <c r="N35" s="10" t="str">
        <f t="shared" ca="1" si="25"/>
        <v/>
      </c>
      <c r="O35" s="10" t="str">
        <f t="shared" ca="1" si="25"/>
        <v/>
      </c>
      <c r="P35" s="10" t="str">
        <f t="shared" ca="1" si="25"/>
        <v/>
      </c>
      <c r="Q35" s="10" t="str">
        <f t="shared" ca="1" si="25"/>
        <v/>
      </c>
      <c r="R35" s="10" t="str">
        <f t="shared" ca="1" si="25"/>
        <v/>
      </c>
      <c r="S35" s="10" t="str">
        <f t="shared" ca="1" si="25"/>
        <v/>
      </c>
      <c r="T35" s="10" t="str">
        <f t="shared" ca="1" si="25"/>
        <v/>
      </c>
      <c r="U35" s="10" t="str">
        <f t="shared" ca="1" si="25"/>
        <v/>
      </c>
      <c r="V35" s="10" t="str">
        <f t="shared" ca="1" si="26"/>
        <v/>
      </c>
      <c r="W35" s="10" t="str">
        <f t="shared" ca="1" si="26"/>
        <v/>
      </c>
      <c r="X35" s="10" t="str">
        <f t="shared" ca="1" si="26"/>
        <v/>
      </c>
      <c r="Y35" s="10" t="str">
        <f t="shared" ca="1" si="26"/>
        <v/>
      </c>
      <c r="Z35" s="10" t="str">
        <f t="shared" ca="1" si="26"/>
        <v/>
      </c>
      <c r="AA35" s="10" t="str">
        <f t="shared" ca="1" si="26"/>
        <v/>
      </c>
      <c r="AB35" s="10" t="str">
        <f t="shared" ca="1" si="26"/>
        <v/>
      </c>
      <c r="AC35" s="10" t="str">
        <f t="shared" ca="1" si="26"/>
        <v/>
      </c>
      <c r="AD35" s="10" t="str">
        <f t="shared" ca="1" si="26"/>
        <v/>
      </c>
      <c r="AE35" s="10" t="str">
        <f t="shared" ca="1" si="26"/>
        <v/>
      </c>
      <c r="AF35" s="10" t="str">
        <f t="shared" ca="1" si="27"/>
        <v/>
      </c>
      <c r="AG35" s="10" t="str">
        <f t="shared" ca="1" si="27"/>
        <v/>
      </c>
      <c r="AH35" s="10" t="str">
        <f t="shared" ca="1" si="27"/>
        <v/>
      </c>
      <c r="AI35" s="10" t="str">
        <f t="shared" ca="1" si="27"/>
        <v/>
      </c>
      <c r="AJ35" s="10" t="str">
        <f t="shared" ca="1" si="27"/>
        <v/>
      </c>
      <c r="AK35" s="10" t="str">
        <f t="shared" ca="1" si="27"/>
        <v/>
      </c>
      <c r="AL35" s="10" t="str">
        <f t="shared" ca="1" si="27"/>
        <v/>
      </c>
      <c r="AM35" s="10" t="str">
        <f t="shared" ca="1" si="27"/>
        <v/>
      </c>
      <c r="AN35" s="10" t="str">
        <f t="shared" ca="1" si="27"/>
        <v/>
      </c>
      <c r="AO35" s="10" t="str">
        <f t="shared" ca="1" si="27"/>
        <v/>
      </c>
      <c r="AP35" s="10" t="str">
        <f t="shared" ca="1" si="28"/>
        <v/>
      </c>
      <c r="AQ35" s="10" t="str">
        <f t="shared" ca="1" si="28"/>
        <v/>
      </c>
      <c r="AR35" s="10" t="str">
        <f t="shared" ca="1" si="28"/>
        <v/>
      </c>
      <c r="AS35" s="10" t="str">
        <f t="shared" ca="1" si="28"/>
        <v/>
      </c>
      <c r="AT35" s="10" t="str">
        <f t="shared" ca="1" si="28"/>
        <v/>
      </c>
      <c r="AU35" s="10" t="str">
        <f t="shared" ca="1" si="28"/>
        <v/>
      </c>
      <c r="AV35" s="10" t="str">
        <f t="shared" ca="1" si="28"/>
        <v/>
      </c>
      <c r="AW35" s="10" t="str">
        <f t="shared" ca="1" si="28"/>
        <v/>
      </c>
      <c r="AX35" s="10" t="str">
        <f t="shared" ca="1" si="28"/>
        <v/>
      </c>
      <c r="AY35" s="10" t="str">
        <f t="shared" ca="1" si="28"/>
        <v/>
      </c>
      <c r="AZ35" s="10" t="str">
        <f t="shared" ca="1" si="29"/>
        <v/>
      </c>
      <c r="BA35" s="10" t="str">
        <f t="shared" ca="1" si="29"/>
        <v/>
      </c>
      <c r="BB35" s="10" t="str">
        <f t="shared" ca="1" si="29"/>
        <v/>
      </c>
      <c r="BC35" s="10" t="str">
        <f t="shared" ca="1" si="29"/>
        <v/>
      </c>
      <c r="BD35" s="10" t="str">
        <f t="shared" ca="1" si="29"/>
        <v/>
      </c>
      <c r="BE35" s="10" t="str">
        <f t="shared" ca="1" si="29"/>
        <v/>
      </c>
      <c r="BF35" s="10" t="str">
        <f t="shared" ca="1" si="29"/>
        <v/>
      </c>
      <c r="BG35" s="10" t="str">
        <f t="shared" ca="1" si="29"/>
        <v/>
      </c>
      <c r="BH35" s="10" t="str">
        <f t="shared" ca="1" si="29"/>
        <v/>
      </c>
      <c r="BI35" s="10" t="str">
        <f t="shared" ca="1" si="29"/>
        <v/>
      </c>
      <c r="BJ35" s="10" t="str">
        <f t="shared" ca="1" si="29"/>
        <v/>
      </c>
      <c r="BK35" s="10" t="str">
        <f t="shared" ca="1" si="29"/>
        <v/>
      </c>
      <c r="BL35" s="10" t="str">
        <f t="shared" ca="1" si="29"/>
        <v/>
      </c>
    </row>
    <row r="36" spans="1:64" s="13" customFormat="1" ht="60" customHeight="1">
      <c r="A36" s="326" t="s">
        <v>534</v>
      </c>
      <c r="B36" s="305" t="s">
        <v>680</v>
      </c>
      <c r="C36" s="305" t="s">
        <v>665</v>
      </c>
      <c r="D36" s="305" t="str">
        <f>'Dicionario EAP2'!G43</f>
        <v>Cosme Sousa
Damião Sousa
Pétrick Gomes
Nilton Guerra</v>
      </c>
      <c r="E36" s="306">
        <f>'Dicionario EAP2'!T43</f>
        <v>1</v>
      </c>
      <c r="F36" s="307">
        <f>'Dicionario EAP2'!I43</f>
        <v>44463</v>
      </c>
      <c r="G36" s="305">
        <v>1</v>
      </c>
      <c r="H36" s="29"/>
      <c r="I36" s="10" t="str">
        <f t="shared" ca="1" si="24"/>
        <v/>
      </c>
      <c r="J36" s="10" t="str">
        <f t="shared" ca="1" si="24"/>
        <v/>
      </c>
      <c r="K36" s="10" t="str">
        <f t="shared" ca="1" si="30"/>
        <v/>
      </c>
      <c r="L36" s="10" t="str">
        <f t="shared" ca="1" si="25"/>
        <v/>
      </c>
      <c r="M36" s="10" t="str">
        <f t="shared" ca="1" si="25"/>
        <v/>
      </c>
      <c r="N36" s="10" t="str">
        <f t="shared" ca="1" si="25"/>
        <v/>
      </c>
      <c r="O36" s="10" t="str">
        <f t="shared" ca="1" si="25"/>
        <v/>
      </c>
      <c r="P36" s="10" t="str">
        <f t="shared" ca="1" si="25"/>
        <v/>
      </c>
      <c r="Q36" s="10" t="str">
        <f t="shared" ca="1" si="25"/>
        <v/>
      </c>
      <c r="R36" s="10" t="str">
        <f t="shared" ca="1" si="25"/>
        <v/>
      </c>
      <c r="S36" s="10" t="str">
        <f t="shared" ca="1" si="25"/>
        <v/>
      </c>
      <c r="T36" s="10" t="str">
        <f t="shared" ca="1" si="25"/>
        <v/>
      </c>
      <c r="U36" s="10" t="str">
        <f t="shared" ca="1" si="25"/>
        <v/>
      </c>
      <c r="V36" s="10" t="str">
        <f t="shared" ca="1" si="26"/>
        <v/>
      </c>
      <c r="W36" s="10" t="str">
        <f t="shared" ca="1" si="26"/>
        <v/>
      </c>
      <c r="X36" s="10" t="str">
        <f t="shared" ca="1" si="26"/>
        <v/>
      </c>
      <c r="Y36" s="10" t="str">
        <f t="shared" ca="1" si="26"/>
        <v/>
      </c>
      <c r="Z36" s="10" t="str">
        <f t="shared" ca="1" si="26"/>
        <v/>
      </c>
      <c r="AA36" s="10" t="str">
        <f t="shared" ca="1" si="26"/>
        <v/>
      </c>
      <c r="AB36" s="10" t="str">
        <f t="shared" ca="1" si="26"/>
        <v/>
      </c>
      <c r="AC36" s="10" t="str">
        <f t="shared" ca="1" si="26"/>
        <v/>
      </c>
      <c r="AD36" s="10" t="str">
        <f t="shared" ca="1" si="26"/>
        <v/>
      </c>
      <c r="AE36" s="10" t="str">
        <f t="shared" ca="1" si="26"/>
        <v/>
      </c>
      <c r="AF36" s="10" t="str">
        <f t="shared" ca="1" si="27"/>
        <v/>
      </c>
      <c r="AG36" s="10" t="str">
        <f t="shared" ca="1" si="27"/>
        <v/>
      </c>
      <c r="AH36" s="10" t="str">
        <f t="shared" ca="1" si="27"/>
        <v/>
      </c>
      <c r="AI36" s="10" t="str">
        <f t="shared" ca="1" si="27"/>
        <v/>
      </c>
      <c r="AJ36" s="10" t="str">
        <f t="shared" ca="1" si="27"/>
        <v/>
      </c>
      <c r="AK36" s="10" t="str">
        <f t="shared" ca="1" si="27"/>
        <v/>
      </c>
      <c r="AL36" s="10" t="str">
        <f t="shared" ca="1" si="27"/>
        <v/>
      </c>
      <c r="AM36" s="10" t="str">
        <f t="shared" ca="1" si="27"/>
        <v/>
      </c>
      <c r="AN36" s="10" t="str">
        <f t="shared" ca="1" si="27"/>
        <v/>
      </c>
      <c r="AO36" s="10" t="str">
        <f t="shared" ca="1" si="27"/>
        <v/>
      </c>
      <c r="AP36" s="10" t="str">
        <f t="shared" ca="1" si="28"/>
        <v/>
      </c>
      <c r="AQ36" s="10" t="str">
        <f t="shared" ca="1" si="28"/>
        <v/>
      </c>
      <c r="AR36" s="10" t="str">
        <f t="shared" ca="1" si="28"/>
        <v/>
      </c>
      <c r="AS36" s="10" t="str">
        <f t="shared" ca="1" si="28"/>
        <v/>
      </c>
      <c r="AT36" s="10" t="str">
        <f t="shared" ca="1" si="28"/>
        <v/>
      </c>
      <c r="AU36" s="10" t="str">
        <f t="shared" ca="1" si="28"/>
        <v/>
      </c>
      <c r="AV36" s="10" t="str">
        <f t="shared" ca="1" si="28"/>
        <v/>
      </c>
      <c r="AW36" s="10" t="str">
        <f t="shared" ca="1" si="28"/>
        <v/>
      </c>
      <c r="AX36" s="10" t="str">
        <f t="shared" ca="1" si="28"/>
        <v/>
      </c>
      <c r="AY36" s="10" t="str">
        <f t="shared" ca="1" si="28"/>
        <v/>
      </c>
      <c r="AZ36" s="10" t="str">
        <f t="shared" ca="1" si="29"/>
        <v/>
      </c>
      <c r="BA36" s="10" t="str">
        <f t="shared" ca="1" si="29"/>
        <v/>
      </c>
      <c r="BB36" s="10" t="str">
        <f t="shared" ca="1" si="29"/>
        <v/>
      </c>
      <c r="BC36" s="10" t="str">
        <f t="shared" ca="1" si="29"/>
        <v/>
      </c>
      <c r="BD36" s="10" t="str">
        <f t="shared" ca="1" si="29"/>
        <v/>
      </c>
      <c r="BE36" s="10" t="str">
        <f t="shared" ca="1" si="29"/>
        <v/>
      </c>
      <c r="BF36" s="10" t="str">
        <f t="shared" ca="1" si="29"/>
        <v/>
      </c>
      <c r="BG36" s="10" t="str">
        <f t="shared" ca="1" si="29"/>
        <v/>
      </c>
      <c r="BH36" s="10" t="str">
        <f t="shared" ca="1" si="29"/>
        <v/>
      </c>
      <c r="BI36" s="10" t="str">
        <f t="shared" ca="1" si="29"/>
        <v/>
      </c>
      <c r="BJ36" s="10" t="str">
        <f t="shared" ca="1" si="29"/>
        <v/>
      </c>
      <c r="BK36" s="10" t="str">
        <f t="shared" ca="1" si="29"/>
        <v/>
      </c>
      <c r="BL36" s="10" t="str">
        <f t="shared" ca="1" si="29"/>
        <v/>
      </c>
    </row>
    <row r="37" spans="1:64" s="13" customFormat="1" ht="60" customHeight="1">
      <c r="A37" s="326" t="s">
        <v>205</v>
      </c>
      <c r="B37" s="305" t="s">
        <v>206</v>
      </c>
      <c r="C37" s="305" t="s">
        <v>664</v>
      </c>
      <c r="D37" s="305" t="str">
        <f>'Dicionario EAP2'!G44</f>
        <v>Cosme Sousa
Damião Sousa
Pétrick Gomes
Nilton Guerra</v>
      </c>
      <c r="E37" s="306">
        <f>'Dicionario EAP2'!T44</f>
        <v>1</v>
      </c>
      <c r="F37" s="307">
        <f>'Dicionario EAP2'!I44</f>
        <v>44466</v>
      </c>
      <c r="G37" s="305">
        <v>1</v>
      </c>
      <c r="H37" s="29"/>
      <c r="I37" s="10" t="str">
        <f t="shared" ca="1" si="24"/>
        <v/>
      </c>
      <c r="J37" s="10" t="str">
        <f t="shared" ca="1" si="24"/>
        <v/>
      </c>
      <c r="K37" s="10" t="str">
        <f t="shared" ca="1" si="30"/>
        <v/>
      </c>
      <c r="L37" s="10" t="str">
        <f t="shared" ca="1" si="25"/>
        <v/>
      </c>
      <c r="M37" s="10" t="str">
        <f t="shared" ca="1" si="25"/>
        <v/>
      </c>
      <c r="N37" s="10" t="str">
        <f t="shared" ca="1" si="25"/>
        <v/>
      </c>
      <c r="O37" s="10" t="str">
        <f t="shared" ca="1" si="25"/>
        <v/>
      </c>
      <c r="P37" s="10" t="str">
        <f t="shared" ca="1" si="25"/>
        <v/>
      </c>
      <c r="Q37" s="10" t="str">
        <f t="shared" ca="1" si="25"/>
        <v/>
      </c>
      <c r="R37" s="10" t="str">
        <f t="shared" ca="1" si="25"/>
        <v/>
      </c>
      <c r="S37" s="10" t="str">
        <f t="shared" ca="1" si="25"/>
        <v/>
      </c>
      <c r="T37" s="10" t="str">
        <f t="shared" ca="1" si="25"/>
        <v/>
      </c>
      <c r="U37" s="10" t="str">
        <f t="shared" ca="1" si="25"/>
        <v/>
      </c>
      <c r="V37" s="10" t="str">
        <f t="shared" ca="1" si="26"/>
        <v/>
      </c>
      <c r="W37" s="10" t="str">
        <f t="shared" ca="1" si="26"/>
        <v/>
      </c>
      <c r="X37" s="10" t="str">
        <f t="shared" ca="1" si="26"/>
        <v/>
      </c>
      <c r="Y37" s="10" t="str">
        <f t="shared" ca="1" si="26"/>
        <v/>
      </c>
      <c r="Z37" s="10" t="str">
        <f t="shared" ca="1" si="26"/>
        <v/>
      </c>
      <c r="AA37" s="10" t="str">
        <f t="shared" ca="1" si="26"/>
        <v/>
      </c>
      <c r="AB37" s="10" t="str">
        <f t="shared" ca="1" si="26"/>
        <v/>
      </c>
      <c r="AC37" s="10" t="str">
        <f t="shared" ca="1" si="26"/>
        <v/>
      </c>
      <c r="AD37" s="10" t="str">
        <f t="shared" ca="1" si="26"/>
        <v/>
      </c>
      <c r="AE37" s="10" t="str">
        <f t="shared" ca="1" si="26"/>
        <v/>
      </c>
      <c r="AF37" s="10" t="str">
        <f t="shared" ca="1" si="27"/>
        <v/>
      </c>
      <c r="AG37" s="10" t="str">
        <f t="shared" ca="1" si="27"/>
        <v/>
      </c>
      <c r="AH37" s="10" t="str">
        <f t="shared" ca="1" si="27"/>
        <v/>
      </c>
      <c r="AI37" s="10" t="str">
        <f t="shared" ca="1" si="27"/>
        <v/>
      </c>
      <c r="AJ37" s="10" t="str">
        <f t="shared" ca="1" si="27"/>
        <v/>
      </c>
      <c r="AK37" s="10" t="str">
        <f t="shared" ca="1" si="27"/>
        <v/>
      </c>
      <c r="AL37" s="10" t="str">
        <f t="shared" ca="1" si="27"/>
        <v/>
      </c>
      <c r="AM37" s="10" t="str">
        <f t="shared" ca="1" si="27"/>
        <v/>
      </c>
      <c r="AN37" s="10" t="str">
        <f t="shared" ca="1" si="27"/>
        <v/>
      </c>
      <c r="AO37" s="10" t="str">
        <f t="shared" ca="1" si="27"/>
        <v/>
      </c>
      <c r="AP37" s="10" t="str">
        <f t="shared" ca="1" si="28"/>
        <v/>
      </c>
      <c r="AQ37" s="10" t="str">
        <f t="shared" ca="1" si="28"/>
        <v/>
      </c>
      <c r="AR37" s="10" t="str">
        <f t="shared" ca="1" si="28"/>
        <v/>
      </c>
      <c r="AS37" s="10" t="str">
        <f t="shared" ca="1" si="28"/>
        <v/>
      </c>
      <c r="AT37" s="10" t="str">
        <f t="shared" ca="1" si="28"/>
        <v/>
      </c>
      <c r="AU37" s="10" t="str">
        <f t="shared" ca="1" si="28"/>
        <v/>
      </c>
      <c r="AV37" s="10" t="str">
        <f t="shared" ca="1" si="28"/>
        <v/>
      </c>
      <c r="AW37" s="10" t="str">
        <f t="shared" ca="1" si="28"/>
        <v/>
      </c>
      <c r="AX37" s="10" t="str">
        <f t="shared" ca="1" si="28"/>
        <v/>
      </c>
      <c r="AY37" s="10" t="str">
        <f t="shared" ca="1" si="28"/>
        <v/>
      </c>
      <c r="AZ37" s="10" t="str">
        <f t="shared" ca="1" si="29"/>
        <v/>
      </c>
      <c r="BA37" s="10" t="str">
        <f t="shared" ca="1" si="29"/>
        <v/>
      </c>
      <c r="BB37" s="10" t="str">
        <f t="shared" ca="1" si="29"/>
        <v/>
      </c>
      <c r="BC37" s="10" t="str">
        <f t="shared" ca="1" si="29"/>
        <v/>
      </c>
      <c r="BD37" s="10" t="str">
        <f t="shared" ca="1" si="29"/>
        <v/>
      </c>
      <c r="BE37" s="10" t="str">
        <f t="shared" ca="1" si="29"/>
        <v/>
      </c>
      <c r="BF37" s="10" t="str">
        <f t="shared" ca="1" si="29"/>
        <v/>
      </c>
      <c r="BG37" s="10" t="str">
        <f t="shared" ca="1" si="29"/>
        <v/>
      </c>
      <c r="BH37" s="10" t="str">
        <f t="shared" ca="1" si="29"/>
        <v/>
      </c>
      <c r="BI37" s="10" t="str">
        <f t="shared" ca="1" si="29"/>
        <v/>
      </c>
      <c r="BJ37" s="10" t="str">
        <f t="shared" ca="1" si="29"/>
        <v/>
      </c>
      <c r="BK37" s="10" t="str">
        <f t="shared" ca="1" si="29"/>
        <v/>
      </c>
      <c r="BL37" s="10" t="str">
        <f t="shared" ca="1" si="29"/>
        <v/>
      </c>
    </row>
    <row r="38" spans="1:64" s="13" customFormat="1" ht="60" customHeight="1">
      <c r="A38" s="327" t="s">
        <v>194</v>
      </c>
      <c r="B38" s="308" t="str">
        <f>'Dicionario EAP2'!D45</f>
        <v>Passar os cabos pelos eletrodutos.</v>
      </c>
      <c r="C38" s="308" t="s">
        <v>664</v>
      </c>
      <c r="D38" s="308" t="str">
        <f>'Dicionario EAP2'!G45</f>
        <v>Cosme Sousa
Damião Sousa
Pétrick Gomes
Leandro Costa</v>
      </c>
      <c r="E38" s="309">
        <f>'Dicionario EAP2'!T45</f>
        <v>1</v>
      </c>
      <c r="F38" s="310">
        <f>'Dicionario EAP2'!I45</f>
        <v>44474</v>
      </c>
      <c r="G38" s="308">
        <v>4</v>
      </c>
      <c r="H38" s="29"/>
      <c r="I38" s="10" t="str">
        <f t="shared" ca="1" si="24"/>
        <v/>
      </c>
      <c r="J38" s="10" t="str">
        <f t="shared" ca="1" si="24"/>
        <v/>
      </c>
      <c r="K38" s="10" t="str">
        <f t="shared" ca="1" si="30"/>
        <v/>
      </c>
      <c r="L38" s="10" t="str">
        <f t="shared" ca="1" si="25"/>
        <v/>
      </c>
      <c r="M38" s="10" t="str">
        <f t="shared" ca="1" si="25"/>
        <v/>
      </c>
      <c r="N38" s="10" t="str">
        <f t="shared" ca="1" si="25"/>
        <v/>
      </c>
      <c r="O38" s="10" t="str">
        <f t="shared" ca="1" si="25"/>
        <v/>
      </c>
      <c r="P38" s="10" t="str">
        <f t="shared" ca="1" si="25"/>
        <v/>
      </c>
      <c r="Q38" s="10" t="str">
        <f t="shared" ca="1" si="25"/>
        <v/>
      </c>
      <c r="R38" s="10" t="str">
        <f t="shared" ca="1" si="25"/>
        <v/>
      </c>
      <c r="S38" s="10" t="str">
        <f t="shared" ca="1" si="25"/>
        <v/>
      </c>
      <c r="T38" s="10" t="str">
        <f t="shared" ca="1" si="25"/>
        <v/>
      </c>
      <c r="U38" s="10" t="str">
        <f t="shared" ca="1" si="25"/>
        <v/>
      </c>
      <c r="V38" s="10" t="str">
        <f t="shared" ca="1" si="26"/>
        <v/>
      </c>
      <c r="W38" s="10" t="str">
        <f t="shared" ca="1" si="26"/>
        <v/>
      </c>
      <c r="X38" s="10" t="str">
        <f t="shared" ca="1" si="26"/>
        <v/>
      </c>
      <c r="Y38" s="10" t="str">
        <f t="shared" ca="1" si="26"/>
        <v/>
      </c>
      <c r="Z38" s="10" t="str">
        <f t="shared" ca="1" si="26"/>
        <v/>
      </c>
      <c r="AA38" s="10" t="str">
        <f t="shared" ca="1" si="26"/>
        <v/>
      </c>
      <c r="AB38" s="10" t="str">
        <f t="shared" ca="1" si="26"/>
        <v/>
      </c>
      <c r="AC38" s="10" t="str">
        <f t="shared" ca="1" si="26"/>
        <v/>
      </c>
      <c r="AD38" s="10" t="str">
        <f t="shared" ca="1" si="26"/>
        <v/>
      </c>
      <c r="AE38" s="10" t="str">
        <f t="shared" ca="1" si="26"/>
        <v/>
      </c>
      <c r="AF38" s="10" t="str">
        <f t="shared" ca="1" si="27"/>
        <v/>
      </c>
      <c r="AG38" s="10" t="str">
        <f t="shared" ca="1" si="27"/>
        <v/>
      </c>
      <c r="AH38" s="10" t="str">
        <f t="shared" ca="1" si="27"/>
        <v/>
      </c>
      <c r="AI38" s="10" t="str">
        <f t="shared" ca="1" si="27"/>
        <v/>
      </c>
      <c r="AJ38" s="10" t="str">
        <f t="shared" ca="1" si="27"/>
        <v/>
      </c>
      <c r="AK38" s="10" t="str">
        <f t="shared" ca="1" si="27"/>
        <v/>
      </c>
      <c r="AL38" s="10" t="str">
        <f t="shared" ca="1" si="27"/>
        <v/>
      </c>
      <c r="AM38" s="10" t="str">
        <f t="shared" ca="1" si="27"/>
        <v/>
      </c>
      <c r="AN38" s="10" t="str">
        <f t="shared" ca="1" si="27"/>
        <v/>
      </c>
      <c r="AO38" s="10" t="str">
        <f t="shared" ca="1" si="27"/>
        <v/>
      </c>
      <c r="AP38" s="10" t="str">
        <f t="shared" ca="1" si="28"/>
        <v/>
      </c>
      <c r="AQ38" s="10" t="str">
        <f t="shared" ca="1" si="28"/>
        <v/>
      </c>
      <c r="AR38" s="10" t="str">
        <f t="shared" ca="1" si="28"/>
        <v/>
      </c>
      <c r="AS38" s="10" t="str">
        <f t="shared" ca="1" si="28"/>
        <v/>
      </c>
      <c r="AT38" s="10" t="str">
        <f t="shared" ca="1" si="28"/>
        <v/>
      </c>
      <c r="AU38" s="10" t="str">
        <f t="shared" ca="1" si="28"/>
        <v/>
      </c>
      <c r="AV38" s="10" t="str">
        <f t="shared" ca="1" si="28"/>
        <v/>
      </c>
      <c r="AW38" s="10" t="str">
        <f t="shared" ca="1" si="28"/>
        <v/>
      </c>
      <c r="AX38" s="10" t="str">
        <f t="shared" ca="1" si="28"/>
        <v/>
      </c>
      <c r="AY38" s="10" t="str">
        <f t="shared" ca="1" si="28"/>
        <v/>
      </c>
      <c r="AZ38" s="10" t="str">
        <f t="shared" ca="1" si="29"/>
        <v/>
      </c>
      <c r="BA38" s="10" t="str">
        <f t="shared" ca="1" si="29"/>
        <v/>
      </c>
      <c r="BB38" s="10" t="str">
        <f t="shared" ca="1" si="29"/>
        <v/>
      </c>
      <c r="BC38" s="10" t="str">
        <f t="shared" ca="1" si="29"/>
        <v/>
      </c>
      <c r="BD38" s="10" t="str">
        <f t="shared" ca="1" si="29"/>
        <v/>
      </c>
      <c r="BE38" s="10" t="str">
        <f t="shared" ca="1" si="29"/>
        <v/>
      </c>
      <c r="BF38" s="10" t="str">
        <f t="shared" ca="1" si="29"/>
        <v/>
      </c>
      <c r="BG38" s="10" t="str">
        <f t="shared" ca="1" si="29"/>
        <v/>
      </c>
      <c r="BH38" s="10" t="str">
        <f t="shared" ca="1" si="29"/>
        <v/>
      </c>
      <c r="BI38" s="10" t="str">
        <f t="shared" ca="1" si="29"/>
        <v/>
      </c>
      <c r="BJ38" s="10" t="str">
        <f t="shared" ca="1" si="29"/>
        <v/>
      </c>
      <c r="BK38" s="10" t="str">
        <f t="shared" ca="1" si="29"/>
        <v/>
      </c>
      <c r="BL38" s="10" t="str">
        <f t="shared" ca="1" si="29"/>
        <v/>
      </c>
    </row>
    <row r="39" spans="1:64" s="13" customFormat="1" ht="60" customHeight="1">
      <c r="A39" s="327" t="s">
        <v>213</v>
      </c>
      <c r="B39" s="308" t="str">
        <f>'Dicionario EAP2'!E46</f>
        <v>Iluminar o ambiente.</v>
      </c>
      <c r="C39" s="308" t="s">
        <v>665</v>
      </c>
      <c r="D39" s="308" t="str">
        <f>'Dicionario EAP2'!G46</f>
        <v>Cosme Sousa
Damião Sousa
Pétrick Gomes
Leandro Costa</v>
      </c>
      <c r="E39" s="309">
        <f>'Dicionario EAP2'!T46</f>
        <v>1</v>
      </c>
      <c r="F39" s="310">
        <f>'Dicionario EAP2'!I46</f>
        <v>44476</v>
      </c>
      <c r="G39" s="308">
        <v>2</v>
      </c>
      <c r="H39" s="29"/>
      <c r="I39" s="10" t="str">
        <f t="shared" ca="1" si="24"/>
        <v/>
      </c>
      <c r="J39" s="10" t="str">
        <f t="shared" ca="1" si="24"/>
        <v/>
      </c>
      <c r="K39" s="10" t="str">
        <f t="shared" ca="1" si="30"/>
        <v/>
      </c>
      <c r="L39" s="10" t="str">
        <f t="shared" ca="1" si="25"/>
        <v/>
      </c>
      <c r="M39" s="10" t="str">
        <f t="shared" ca="1" si="25"/>
        <v/>
      </c>
      <c r="N39" s="10" t="str">
        <f t="shared" ca="1" si="25"/>
        <v/>
      </c>
      <c r="O39" s="10" t="str">
        <f t="shared" ca="1" si="25"/>
        <v/>
      </c>
      <c r="P39" s="10" t="str">
        <f t="shared" ca="1" si="25"/>
        <v/>
      </c>
      <c r="Q39" s="10" t="str">
        <f t="shared" ca="1" si="25"/>
        <v/>
      </c>
      <c r="R39" s="10" t="str">
        <f t="shared" ca="1" si="25"/>
        <v/>
      </c>
      <c r="S39" s="10" t="str">
        <f t="shared" ca="1" si="25"/>
        <v/>
      </c>
      <c r="T39" s="10" t="str">
        <f t="shared" ca="1" si="25"/>
        <v/>
      </c>
      <c r="U39" s="10" t="str">
        <f t="shared" ca="1" si="25"/>
        <v/>
      </c>
      <c r="V39" s="10" t="str">
        <f t="shared" ca="1" si="26"/>
        <v/>
      </c>
      <c r="W39" s="10" t="str">
        <f t="shared" ca="1" si="26"/>
        <v/>
      </c>
      <c r="X39" s="10" t="str">
        <f t="shared" ca="1" si="26"/>
        <v/>
      </c>
      <c r="Y39" s="10" t="str">
        <f t="shared" ca="1" si="26"/>
        <v/>
      </c>
      <c r="Z39" s="10" t="str">
        <f t="shared" ca="1" si="26"/>
        <v/>
      </c>
      <c r="AA39" s="10" t="str">
        <f t="shared" ca="1" si="26"/>
        <v/>
      </c>
      <c r="AB39" s="10" t="str">
        <f t="shared" ca="1" si="26"/>
        <v/>
      </c>
      <c r="AC39" s="10" t="str">
        <f t="shared" ca="1" si="26"/>
        <v/>
      </c>
      <c r="AD39" s="10" t="str">
        <f t="shared" ca="1" si="26"/>
        <v/>
      </c>
      <c r="AE39" s="10" t="str">
        <f t="shared" ca="1" si="26"/>
        <v/>
      </c>
      <c r="AF39" s="10" t="str">
        <f t="shared" ca="1" si="27"/>
        <v/>
      </c>
      <c r="AG39" s="10" t="str">
        <f t="shared" ca="1" si="27"/>
        <v/>
      </c>
      <c r="AH39" s="10" t="str">
        <f t="shared" ca="1" si="27"/>
        <v/>
      </c>
      <c r="AI39" s="10" t="str">
        <f t="shared" ca="1" si="27"/>
        <v/>
      </c>
      <c r="AJ39" s="10" t="str">
        <f t="shared" ca="1" si="27"/>
        <v/>
      </c>
      <c r="AK39" s="10" t="str">
        <f t="shared" ca="1" si="27"/>
        <v/>
      </c>
      <c r="AL39" s="10" t="str">
        <f t="shared" ca="1" si="27"/>
        <v/>
      </c>
      <c r="AM39" s="10" t="str">
        <f t="shared" ca="1" si="27"/>
        <v/>
      </c>
      <c r="AN39" s="10" t="str">
        <f t="shared" ca="1" si="27"/>
        <v/>
      </c>
      <c r="AO39" s="10" t="str">
        <f t="shared" ca="1" si="27"/>
        <v/>
      </c>
      <c r="AP39" s="10" t="str">
        <f t="shared" ca="1" si="28"/>
        <v/>
      </c>
      <c r="AQ39" s="10" t="str">
        <f t="shared" ca="1" si="28"/>
        <v/>
      </c>
      <c r="AR39" s="10" t="str">
        <f t="shared" ca="1" si="28"/>
        <v/>
      </c>
      <c r="AS39" s="10" t="str">
        <f t="shared" ca="1" si="28"/>
        <v/>
      </c>
      <c r="AT39" s="10" t="str">
        <f t="shared" ca="1" si="28"/>
        <v/>
      </c>
      <c r="AU39" s="10" t="str">
        <f t="shared" ca="1" si="28"/>
        <v/>
      </c>
      <c r="AV39" s="10" t="str">
        <f t="shared" ca="1" si="28"/>
        <v/>
      </c>
      <c r="AW39" s="10" t="str">
        <f t="shared" ca="1" si="28"/>
        <v/>
      </c>
      <c r="AX39" s="10" t="str">
        <f t="shared" ca="1" si="28"/>
        <v/>
      </c>
      <c r="AY39" s="10" t="str">
        <f t="shared" ca="1" si="28"/>
        <v/>
      </c>
      <c r="AZ39" s="10" t="str">
        <f t="shared" ca="1" si="29"/>
        <v/>
      </c>
      <c r="BA39" s="10" t="str">
        <f t="shared" ca="1" si="29"/>
        <v/>
      </c>
      <c r="BB39" s="10" t="str">
        <f t="shared" ca="1" si="29"/>
        <v/>
      </c>
      <c r="BC39" s="10" t="str">
        <f t="shared" ca="1" si="29"/>
        <v/>
      </c>
      <c r="BD39" s="10" t="str">
        <f t="shared" ca="1" si="29"/>
        <v/>
      </c>
      <c r="BE39" s="10" t="str">
        <f t="shared" ca="1" si="29"/>
        <v/>
      </c>
      <c r="BF39" s="10" t="str">
        <f t="shared" ca="1" si="29"/>
        <v/>
      </c>
      <c r="BG39" s="10" t="str">
        <f t="shared" ca="1" si="29"/>
        <v/>
      </c>
      <c r="BH39" s="10" t="str">
        <f t="shared" ca="1" si="29"/>
        <v/>
      </c>
      <c r="BI39" s="10" t="str">
        <f t="shared" ca="1" si="29"/>
        <v/>
      </c>
      <c r="BJ39" s="10" t="str">
        <f t="shared" ca="1" si="29"/>
        <v/>
      </c>
      <c r="BK39" s="10" t="str">
        <f t="shared" ca="1" si="29"/>
        <v/>
      </c>
      <c r="BL39" s="10" t="str">
        <f t="shared" ca="1" si="29"/>
        <v/>
      </c>
    </row>
    <row r="40" spans="1:64" s="13" customFormat="1" ht="60" customHeight="1">
      <c r="A40" s="327" t="s">
        <v>219</v>
      </c>
      <c r="B40" s="308" t="str">
        <f>'Dicionario EAP2'!E47</f>
        <v>instalar interruptores e tomadas</v>
      </c>
      <c r="C40" s="308" t="s">
        <v>665</v>
      </c>
      <c r="D40" s="308" t="str">
        <f>'Dicionario EAP2'!G47</f>
        <v>Cosme Sousa
Damião Sousa
Pétrick Gomes
Leandro Costa</v>
      </c>
      <c r="E40" s="309">
        <f>'Dicionario EAP2'!T47</f>
        <v>1</v>
      </c>
      <c r="F40" s="310">
        <f>'Dicionario EAP2'!I47</f>
        <v>44477</v>
      </c>
      <c r="G40" s="308">
        <v>3</v>
      </c>
      <c r="H40" s="29"/>
      <c r="I40" s="10" t="str">
        <f t="shared" ca="1" si="24"/>
        <v/>
      </c>
      <c r="J40" s="10" t="str">
        <f t="shared" ca="1" si="24"/>
        <v/>
      </c>
      <c r="K40" s="10" t="str">
        <f t="shared" ca="1" si="30"/>
        <v/>
      </c>
      <c r="L40" s="10" t="str">
        <f t="shared" ca="1" si="25"/>
        <v/>
      </c>
      <c r="M40" s="10" t="str">
        <f t="shared" ca="1" si="25"/>
        <v/>
      </c>
      <c r="N40" s="10" t="str">
        <f t="shared" ca="1" si="25"/>
        <v/>
      </c>
      <c r="O40" s="10" t="str">
        <f t="shared" ca="1" si="25"/>
        <v/>
      </c>
      <c r="P40" s="10" t="str">
        <f t="shared" ca="1" si="25"/>
        <v/>
      </c>
      <c r="Q40" s="10" t="str">
        <f t="shared" ca="1" si="25"/>
        <v/>
      </c>
      <c r="R40" s="10" t="str">
        <f t="shared" ca="1" si="25"/>
        <v/>
      </c>
      <c r="S40" s="10" t="str">
        <f t="shared" ca="1" si="25"/>
        <v/>
      </c>
      <c r="T40" s="10" t="str">
        <f t="shared" ca="1" si="25"/>
        <v/>
      </c>
      <c r="U40" s="10" t="str">
        <f t="shared" ca="1" si="25"/>
        <v/>
      </c>
      <c r="V40" s="10" t="str">
        <f t="shared" ca="1" si="26"/>
        <v/>
      </c>
      <c r="W40" s="10" t="str">
        <f t="shared" ca="1" si="26"/>
        <v/>
      </c>
      <c r="X40" s="10" t="str">
        <f t="shared" ca="1" si="26"/>
        <v/>
      </c>
      <c r="Y40" s="10" t="str">
        <f t="shared" ca="1" si="26"/>
        <v/>
      </c>
      <c r="Z40" s="10" t="str">
        <f t="shared" ca="1" si="26"/>
        <v/>
      </c>
      <c r="AA40" s="10" t="str">
        <f t="shared" ca="1" si="26"/>
        <v/>
      </c>
      <c r="AB40" s="10" t="str">
        <f t="shared" ca="1" si="26"/>
        <v/>
      </c>
      <c r="AC40" s="10" t="str">
        <f t="shared" ca="1" si="26"/>
        <v/>
      </c>
      <c r="AD40" s="10" t="str">
        <f t="shared" ca="1" si="26"/>
        <v/>
      </c>
      <c r="AE40" s="10" t="str">
        <f t="shared" ca="1" si="26"/>
        <v/>
      </c>
      <c r="AF40" s="10" t="str">
        <f t="shared" ca="1" si="27"/>
        <v/>
      </c>
      <c r="AG40" s="10" t="str">
        <f t="shared" ca="1" si="27"/>
        <v/>
      </c>
      <c r="AH40" s="10" t="str">
        <f t="shared" ca="1" si="27"/>
        <v/>
      </c>
      <c r="AI40" s="10" t="str">
        <f t="shared" ca="1" si="27"/>
        <v/>
      </c>
      <c r="AJ40" s="10" t="str">
        <f t="shared" ca="1" si="27"/>
        <v/>
      </c>
      <c r="AK40" s="10" t="str">
        <f t="shared" ca="1" si="27"/>
        <v/>
      </c>
      <c r="AL40" s="10" t="str">
        <f t="shared" ca="1" si="27"/>
        <v/>
      </c>
      <c r="AM40" s="10" t="str">
        <f t="shared" ca="1" si="27"/>
        <v/>
      </c>
      <c r="AN40" s="10" t="str">
        <f t="shared" ca="1" si="27"/>
        <v/>
      </c>
      <c r="AO40" s="10" t="str">
        <f t="shared" ca="1" si="27"/>
        <v/>
      </c>
      <c r="AP40" s="10" t="str">
        <f t="shared" ca="1" si="28"/>
        <v/>
      </c>
      <c r="AQ40" s="10" t="str">
        <f t="shared" ca="1" si="28"/>
        <v/>
      </c>
      <c r="AR40" s="10" t="str">
        <f t="shared" ca="1" si="28"/>
        <v/>
      </c>
      <c r="AS40" s="10" t="str">
        <f t="shared" ca="1" si="28"/>
        <v/>
      </c>
      <c r="AT40" s="10" t="str">
        <f t="shared" ca="1" si="28"/>
        <v/>
      </c>
      <c r="AU40" s="10" t="str">
        <f t="shared" ca="1" si="28"/>
        <v/>
      </c>
      <c r="AV40" s="10" t="str">
        <f t="shared" ca="1" si="28"/>
        <v/>
      </c>
      <c r="AW40" s="10" t="str">
        <f t="shared" ca="1" si="28"/>
        <v/>
      </c>
      <c r="AX40" s="10" t="str">
        <f t="shared" ca="1" si="28"/>
        <v/>
      </c>
      <c r="AY40" s="10" t="str">
        <f t="shared" ca="1" si="28"/>
        <v/>
      </c>
      <c r="AZ40" s="10" t="str">
        <f t="shared" ca="1" si="29"/>
        <v/>
      </c>
      <c r="BA40" s="10" t="str">
        <f t="shared" ca="1" si="29"/>
        <v/>
      </c>
      <c r="BB40" s="10" t="str">
        <f t="shared" ca="1" si="29"/>
        <v/>
      </c>
      <c r="BC40" s="10" t="str">
        <f t="shared" ca="1" si="29"/>
        <v/>
      </c>
      <c r="BD40" s="10" t="str">
        <f t="shared" ca="1" si="29"/>
        <v/>
      </c>
      <c r="BE40" s="10" t="str">
        <f t="shared" ca="1" si="29"/>
        <v/>
      </c>
      <c r="BF40" s="10" t="str">
        <f t="shared" ca="1" si="29"/>
        <v/>
      </c>
      <c r="BG40" s="10" t="str">
        <f t="shared" ca="1" si="29"/>
        <v/>
      </c>
      <c r="BH40" s="10" t="str">
        <f t="shared" ca="1" si="29"/>
        <v/>
      </c>
      <c r="BI40" s="10" t="str">
        <f t="shared" ca="1" si="29"/>
        <v/>
      </c>
      <c r="BJ40" s="10" t="str">
        <f t="shared" ca="1" si="29"/>
        <v/>
      </c>
      <c r="BK40" s="10" t="str">
        <f t="shared" ca="1" si="29"/>
        <v/>
      </c>
      <c r="BL40" s="10" t="str">
        <f t="shared" ca="1" si="29"/>
        <v/>
      </c>
    </row>
    <row r="41" spans="1:64" s="13" customFormat="1" ht="60" customHeight="1">
      <c r="A41" s="327" t="s">
        <v>225</v>
      </c>
      <c r="B41" s="308" t="str">
        <f>'Dicionario EAP2'!E48</f>
        <v>Verificar o correto funcionamento.</v>
      </c>
      <c r="C41" s="308" t="s">
        <v>665</v>
      </c>
      <c r="D41" s="308" t="str">
        <f>'Dicionario EAP2'!G48</f>
        <v>Cosme Sousa
Damião Sousa
Pétrick Gomes
Leandro Costa</v>
      </c>
      <c r="E41" s="309">
        <f>'Dicionario EAP2'!T48</f>
        <v>1</v>
      </c>
      <c r="F41" s="310">
        <f>'Dicionario EAP2'!I48</f>
        <v>44477</v>
      </c>
      <c r="G41" s="308">
        <v>1</v>
      </c>
      <c r="H41" s="29"/>
      <c r="I41" s="10" t="str">
        <f t="shared" ca="1" si="24"/>
        <v/>
      </c>
      <c r="J41" s="10" t="str">
        <f t="shared" ca="1" si="24"/>
        <v/>
      </c>
      <c r="K41" s="10" t="str">
        <f t="shared" ca="1" si="30"/>
        <v/>
      </c>
      <c r="L41" s="10" t="str">
        <f t="shared" ca="1" si="25"/>
        <v/>
      </c>
      <c r="M41" s="10" t="str">
        <f t="shared" ca="1" si="25"/>
        <v/>
      </c>
      <c r="N41" s="10" t="str">
        <f t="shared" ca="1" si="25"/>
        <v/>
      </c>
      <c r="O41" s="10" t="str">
        <f t="shared" ca="1" si="25"/>
        <v/>
      </c>
      <c r="P41" s="10" t="str">
        <f t="shared" ca="1" si="25"/>
        <v/>
      </c>
      <c r="Q41" s="10" t="str">
        <f t="shared" ca="1" si="25"/>
        <v/>
      </c>
      <c r="R41" s="10" t="str">
        <f t="shared" ca="1" si="25"/>
        <v/>
      </c>
      <c r="S41" s="10" t="str">
        <f t="shared" ca="1" si="25"/>
        <v/>
      </c>
      <c r="T41" s="10" t="str">
        <f t="shared" ca="1" si="25"/>
        <v/>
      </c>
      <c r="U41" s="10" t="str">
        <f t="shared" ca="1" si="25"/>
        <v/>
      </c>
      <c r="V41" s="10" t="str">
        <f t="shared" ca="1" si="26"/>
        <v/>
      </c>
      <c r="W41" s="10" t="str">
        <f t="shared" ca="1" si="26"/>
        <v/>
      </c>
      <c r="X41" s="10" t="str">
        <f t="shared" ca="1" si="26"/>
        <v/>
      </c>
      <c r="Y41" s="10" t="str">
        <f t="shared" ca="1" si="26"/>
        <v/>
      </c>
      <c r="Z41" s="10" t="str">
        <f t="shared" ca="1" si="26"/>
        <v/>
      </c>
      <c r="AA41" s="10" t="str">
        <f t="shared" ca="1" si="26"/>
        <v/>
      </c>
      <c r="AB41" s="10" t="str">
        <f t="shared" ca="1" si="26"/>
        <v/>
      </c>
      <c r="AC41" s="10" t="str">
        <f t="shared" ca="1" si="26"/>
        <v/>
      </c>
      <c r="AD41" s="10" t="str">
        <f t="shared" ca="1" si="26"/>
        <v/>
      </c>
      <c r="AE41" s="10" t="str">
        <f t="shared" ca="1" si="26"/>
        <v/>
      </c>
      <c r="AF41" s="10" t="str">
        <f t="shared" ca="1" si="27"/>
        <v/>
      </c>
      <c r="AG41" s="10" t="str">
        <f t="shared" ca="1" si="27"/>
        <v/>
      </c>
      <c r="AH41" s="10" t="str">
        <f t="shared" ca="1" si="27"/>
        <v/>
      </c>
      <c r="AI41" s="10" t="str">
        <f t="shared" ca="1" si="27"/>
        <v/>
      </c>
      <c r="AJ41" s="10" t="str">
        <f t="shared" ca="1" si="27"/>
        <v/>
      </c>
      <c r="AK41" s="10" t="str">
        <f t="shared" ca="1" si="27"/>
        <v/>
      </c>
      <c r="AL41" s="10" t="str">
        <f t="shared" ca="1" si="27"/>
        <v/>
      </c>
      <c r="AM41" s="10" t="str">
        <f t="shared" ca="1" si="27"/>
        <v/>
      </c>
      <c r="AN41" s="10" t="str">
        <f t="shared" ca="1" si="27"/>
        <v/>
      </c>
      <c r="AO41" s="10" t="str">
        <f t="shared" ca="1" si="27"/>
        <v/>
      </c>
      <c r="AP41" s="10" t="str">
        <f t="shared" ca="1" si="28"/>
        <v/>
      </c>
      <c r="AQ41" s="10" t="str">
        <f t="shared" ca="1" si="28"/>
        <v/>
      </c>
      <c r="AR41" s="10" t="str">
        <f t="shared" ca="1" si="28"/>
        <v/>
      </c>
      <c r="AS41" s="10" t="str">
        <f t="shared" ca="1" si="28"/>
        <v/>
      </c>
      <c r="AT41" s="10" t="str">
        <f t="shared" ca="1" si="28"/>
        <v/>
      </c>
      <c r="AU41" s="10" t="str">
        <f t="shared" ca="1" si="28"/>
        <v/>
      </c>
      <c r="AV41" s="10" t="str">
        <f t="shared" ca="1" si="28"/>
        <v/>
      </c>
      <c r="AW41" s="10" t="str">
        <f t="shared" ca="1" si="28"/>
        <v/>
      </c>
      <c r="AX41" s="10" t="str">
        <f t="shared" ca="1" si="28"/>
        <v/>
      </c>
      <c r="AY41" s="10" t="str">
        <f t="shared" ca="1" si="28"/>
        <v/>
      </c>
      <c r="AZ41" s="10" t="str">
        <f t="shared" ca="1" si="29"/>
        <v/>
      </c>
      <c r="BA41" s="10" t="str">
        <f t="shared" ca="1" si="29"/>
        <v/>
      </c>
      <c r="BB41" s="10" t="str">
        <f t="shared" ca="1" si="29"/>
        <v/>
      </c>
      <c r="BC41" s="10" t="str">
        <f t="shared" ca="1" si="29"/>
        <v/>
      </c>
      <c r="BD41" s="10" t="str">
        <f t="shared" ca="1" si="29"/>
        <v/>
      </c>
      <c r="BE41" s="10" t="str">
        <f t="shared" ca="1" si="29"/>
        <v/>
      </c>
      <c r="BF41" s="10" t="str">
        <f t="shared" ca="1" si="29"/>
        <v/>
      </c>
      <c r="BG41" s="10" t="str">
        <f t="shared" ca="1" si="29"/>
        <v/>
      </c>
      <c r="BH41" s="10" t="str">
        <f t="shared" ca="1" si="29"/>
        <v/>
      </c>
      <c r="BI41" s="10" t="str">
        <f t="shared" ca="1" si="29"/>
        <v/>
      </c>
      <c r="BJ41" s="10" t="str">
        <f t="shared" ca="1" si="29"/>
        <v/>
      </c>
      <c r="BK41" s="10" t="str">
        <f t="shared" ca="1" si="29"/>
        <v/>
      </c>
      <c r="BL41" s="10" t="str">
        <f t="shared" ca="1" si="29"/>
        <v/>
      </c>
    </row>
    <row r="42" spans="1:64" s="13" customFormat="1" ht="60" customHeight="1">
      <c r="A42" s="328" t="s">
        <v>554</v>
      </c>
      <c r="B42" s="311" t="s">
        <v>233</v>
      </c>
      <c r="C42" s="311" t="s">
        <v>664</v>
      </c>
      <c r="D42" s="311" t="str">
        <f>'Dicionario EAP2'!G49</f>
        <v>Leandro Costa 
João Miranda</v>
      </c>
      <c r="E42" s="312">
        <f>'Dicionario EAP2'!T49</f>
        <v>1</v>
      </c>
      <c r="F42" s="313">
        <f>'Dicionario EAP2'!I49</f>
        <v>44487</v>
      </c>
      <c r="G42" s="311">
        <v>11</v>
      </c>
      <c r="H42" s="2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</row>
    <row r="43" spans="1:64" s="13" customFormat="1" ht="60" customHeight="1">
      <c r="A43" s="328" t="s">
        <v>238</v>
      </c>
      <c r="B43" s="311" t="s">
        <v>239</v>
      </c>
      <c r="C43" s="311" t="s">
        <v>664</v>
      </c>
      <c r="D43" s="311" t="str">
        <f>'Dicionario EAP2'!G50</f>
        <v>Leandro Costa 
João Miranda</v>
      </c>
      <c r="E43" s="312">
        <f>'Dicionario EAP2'!T50</f>
        <v>1</v>
      </c>
      <c r="F43" s="313">
        <f>'Dicionario EAP2'!I50</f>
        <v>44493</v>
      </c>
      <c r="G43" s="311">
        <v>1</v>
      </c>
      <c r="H43" s="2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</row>
    <row r="44" spans="1:64" s="13" customFormat="1" ht="60" customHeight="1">
      <c r="A44" s="328" t="s">
        <v>244</v>
      </c>
      <c r="B44" s="311" t="s">
        <v>245</v>
      </c>
      <c r="C44" s="311" t="s">
        <v>665</v>
      </c>
      <c r="D44" s="311" t="str">
        <f>'Dicionario EAP2'!G51</f>
        <v>Leandro Costa 
João Miranda</v>
      </c>
      <c r="E44" s="312">
        <f>'Dicionario EAP2'!T51</f>
        <v>1</v>
      </c>
      <c r="F44" s="313">
        <f>'Dicionario EAP2'!I51</f>
        <v>44493</v>
      </c>
      <c r="G44" s="311">
        <v>1</v>
      </c>
      <c r="H44" s="2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</row>
    <row r="45" spans="1:64" s="13" customFormat="1" ht="60" customHeight="1">
      <c r="A45" s="327" t="s">
        <v>251</v>
      </c>
      <c r="B45" s="308" t="s">
        <v>254</v>
      </c>
      <c r="C45" s="308" t="s">
        <v>663</v>
      </c>
      <c r="D45" s="308" t="str">
        <f>'Dicionario EAP2'!G52</f>
        <v xml:space="preserve"> Pétrick Gomes             João Miranda
Nilton Guerra</v>
      </c>
      <c r="E45" s="312">
        <f>'Dicionario EAP2'!T52</f>
        <v>1</v>
      </c>
      <c r="F45" s="313">
        <f>'Dicionario EAP2'!I53</f>
        <v>44497</v>
      </c>
      <c r="G45" s="314">
        <v>1</v>
      </c>
      <c r="H45" s="2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</row>
    <row r="46" spans="1:64" s="13" customFormat="1" ht="60" customHeight="1">
      <c r="A46" s="328" t="s">
        <v>259</v>
      </c>
      <c r="B46" s="311" t="s">
        <v>258</v>
      </c>
      <c r="C46" s="308" t="s">
        <v>664</v>
      </c>
      <c r="D46" s="308" t="str">
        <f>'Dicionario EAP2'!G53</f>
        <v xml:space="preserve"> Pétrick Gomes             João Miranda
Nilton Guerra</v>
      </c>
      <c r="E46" s="312">
        <f>'Dicionario EAP2'!T53</f>
        <v>1</v>
      </c>
      <c r="F46" s="313">
        <f>'Dicionario EAP2'!I53</f>
        <v>44497</v>
      </c>
      <c r="G46" s="315">
        <v>1</v>
      </c>
      <c r="H46" s="2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</row>
    <row r="47" spans="1:64" s="13" customFormat="1" ht="60" customHeight="1">
      <c r="A47" s="328" t="s">
        <v>264</v>
      </c>
      <c r="B47" s="311" t="s">
        <v>263</v>
      </c>
      <c r="C47" s="308" t="s">
        <v>663</v>
      </c>
      <c r="D47" s="311" t="str">
        <f>'Dicionario EAP2'!G54</f>
        <v xml:space="preserve"> Pétrick Gomes             João Miranda
Nilton Guerra</v>
      </c>
      <c r="E47" s="312">
        <f>'Dicionario EAP2'!T54</f>
        <v>1</v>
      </c>
      <c r="F47" s="313">
        <f>'Dicionario EAP2'!I54</f>
        <v>44504</v>
      </c>
      <c r="G47" s="315">
        <v>1</v>
      </c>
      <c r="H47" s="2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</row>
    <row r="48" spans="1:64" s="13" customFormat="1" ht="60" customHeight="1">
      <c r="A48" s="328" t="s">
        <v>270</v>
      </c>
      <c r="B48" s="311" t="s">
        <v>273</v>
      </c>
      <c r="C48" s="308" t="s">
        <v>664</v>
      </c>
      <c r="D48" s="311" t="str">
        <f>'Dicionario EAP2'!G55</f>
        <v>Nilton Guerra</v>
      </c>
      <c r="E48" s="312">
        <f>'Dicionario EAP2'!T55</f>
        <v>1</v>
      </c>
      <c r="F48" s="313">
        <f>'Dicionario EAP2'!I55</f>
        <v>44469</v>
      </c>
      <c r="G48" s="311">
        <v>1</v>
      </c>
      <c r="H48" s="2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spans="1:64" s="13" customFormat="1" ht="60" customHeight="1">
      <c r="A49" s="328" t="s">
        <v>279</v>
      </c>
      <c r="B49" s="311" t="s">
        <v>278</v>
      </c>
      <c r="C49" s="308" t="s">
        <v>664</v>
      </c>
      <c r="D49" s="311" t="str">
        <f>'Dicionario EAP2'!G56</f>
        <v>Nilton Guerra</v>
      </c>
      <c r="E49" s="312">
        <f>'Dicionario EAP2'!T56</f>
        <v>1</v>
      </c>
      <c r="F49" s="313">
        <f>'Dicionario EAP2'!I56</f>
        <v>44470</v>
      </c>
      <c r="G49" s="311">
        <v>4</v>
      </c>
      <c r="H49" s="2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</row>
    <row r="50" spans="1:64" s="13" customFormat="1" ht="60" customHeight="1">
      <c r="A50" s="328" t="s">
        <v>286</v>
      </c>
      <c r="B50" s="311" t="s">
        <v>285</v>
      </c>
      <c r="C50" s="308" t="s">
        <v>664</v>
      </c>
      <c r="D50" s="311" t="str">
        <f>'Dicionario EAP2'!G57</f>
        <v>Nilton Guerra</v>
      </c>
      <c r="E50" s="312">
        <f>'Dicionario EAP2'!T57</f>
        <v>1</v>
      </c>
      <c r="F50" s="313">
        <f>'Dicionario EAP2'!I57</f>
        <v>44470</v>
      </c>
      <c r="G50" s="311">
        <v>4</v>
      </c>
      <c r="H50" s="29"/>
      <c r="I50" s="10" t="str">
        <f t="shared" ref="I50:AN50" ca="1" si="31">IF(AND($C50="Objetivo",I$5&gt;=$F50,I$5&lt;=$F50+$G50-1),2,IF(AND($C50="Marco",I$5&gt;=$F50,I$5&lt;=$F50+$G50-1),1,""))</f>
        <v/>
      </c>
      <c r="J50" s="10" t="str">
        <f t="shared" ca="1" si="31"/>
        <v/>
      </c>
      <c r="K50" s="10" t="str">
        <f t="shared" ca="1" si="31"/>
        <v/>
      </c>
      <c r="L50" s="10" t="str">
        <f t="shared" ca="1" si="31"/>
        <v/>
      </c>
      <c r="M50" s="10" t="str">
        <f t="shared" ca="1" si="31"/>
        <v/>
      </c>
      <c r="N50" s="10" t="str">
        <f t="shared" ca="1" si="31"/>
        <v/>
      </c>
      <c r="O50" s="10" t="str">
        <f t="shared" ca="1" si="31"/>
        <v/>
      </c>
      <c r="P50" s="10" t="str">
        <f t="shared" ca="1" si="31"/>
        <v/>
      </c>
      <c r="Q50" s="10" t="str">
        <f t="shared" ca="1" si="31"/>
        <v/>
      </c>
      <c r="R50" s="10" t="str">
        <f t="shared" ca="1" si="31"/>
        <v/>
      </c>
      <c r="S50" s="10" t="str">
        <f t="shared" ca="1" si="31"/>
        <v/>
      </c>
      <c r="T50" s="10" t="str">
        <f t="shared" ca="1" si="31"/>
        <v/>
      </c>
      <c r="U50" s="10" t="str">
        <f t="shared" ca="1" si="31"/>
        <v/>
      </c>
      <c r="V50" s="10" t="str">
        <f t="shared" ca="1" si="31"/>
        <v/>
      </c>
      <c r="W50" s="10" t="str">
        <f t="shared" ca="1" si="31"/>
        <v/>
      </c>
      <c r="X50" s="10" t="str">
        <f t="shared" ca="1" si="31"/>
        <v/>
      </c>
      <c r="Y50" s="10" t="str">
        <f t="shared" ca="1" si="31"/>
        <v/>
      </c>
      <c r="Z50" s="10" t="str">
        <f t="shared" ca="1" si="31"/>
        <v/>
      </c>
      <c r="AA50" s="10" t="str">
        <f t="shared" ca="1" si="31"/>
        <v/>
      </c>
      <c r="AB50" s="10" t="str">
        <f t="shared" ca="1" si="31"/>
        <v/>
      </c>
      <c r="AC50" s="10" t="str">
        <f t="shared" ca="1" si="31"/>
        <v/>
      </c>
      <c r="AD50" s="10" t="str">
        <f t="shared" ca="1" si="31"/>
        <v/>
      </c>
      <c r="AE50" s="10" t="str">
        <f t="shared" ca="1" si="31"/>
        <v/>
      </c>
      <c r="AF50" s="10" t="str">
        <f t="shared" ca="1" si="31"/>
        <v/>
      </c>
      <c r="AG50" s="10" t="str">
        <f t="shared" ca="1" si="31"/>
        <v/>
      </c>
      <c r="AH50" s="10" t="str">
        <f t="shared" ca="1" si="31"/>
        <v/>
      </c>
      <c r="AI50" s="10" t="str">
        <f t="shared" ca="1" si="31"/>
        <v/>
      </c>
      <c r="AJ50" s="10" t="str">
        <f t="shared" ca="1" si="31"/>
        <v/>
      </c>
      <c r="AK50" s="10" t="str">
        <f t="shared" ca="1" si="31"/>
        <v/>
      </c>
      <c r="AL50" s="10" t="str">
        <f t="shared" ca="1" si="31"/>
        <v/>
      </c>
      <c r="AM50" s="10" t="str">
        <f t="shared" ca="1" si="31"/>
        <v/>
      </c>
      <c r="AN50" s="10" t="str">
        <f t="shared" ca="1" si="31"/>
        <v/>
      </c>
      <c r="AO50" s="10" t="str">
        <f t="shared" ref="AO50:BL50" ca="1" si="32">IF(AND($C50="Objetivo",AO$5&gt;=$F50,AO$5&lt;=$F50+$G50-1),2,IF(AND($C50="Marco",AO$5&gt;=$F50,AO$5&lt;=$F50+$G50-1),1,""))</f>
        <v/>
      </c>
      <c r="AP50" s="10" t="str">
        <f t="shared" ca="1" si="32"/>
        <v/>
      </c>
      <c r="AQ50" s="10" t="str">
        <f t="shared" ca="1" si="32"/>
        <v/>
      </c>
      <c r="AR50" s="10" t="str">
        <f t="shared" ca="1" si="32"/>
        <v/>
      </c>
      <c r="AS50" s="10" t="str">
        <f t="shared" ca="1" si="32"/>
        <v/>
      </c>
      <c r="AT50" s="10" t="str">
        <f t="shared" ca="1" si="32"/>
        <v/>
      </c>
      <c r="AU50" s="10" t="str">
        <f t="shared" ca="1" si="32"/>
        <v/>
      </c>
      <c r="AV50" s="10" t="str">
        <f t="shared" ca="1" si="32"/>
        <v/>
      </c>
      <c r="AW50" s="10" t="str">
        <f t="shared" ca="1" si="32"/>
        <v/>
      </c>
      <c r="AX50" s="10" t="str">
        <f t="shared" ca="1" si="32"/>
        <v/>
      </c>
      <c r="AY50" s="10" t="str">
        <f t="shared" ca="1" si="32"/>
        <v/>
      </c>
      <c r="AZ50" s="10" t="str">
        <f t="shared" ca="1" si="32"/>
        <v/>
      </c>
      <c r="BA50" s="10" t="str">
        <f t="shared" ca="1" si="32"/>
        <v/>
      </c>
      <c r="BB50" s="10" t="str">
        <f t="shared" ca="1" si="32"/>
        <v/>
      </c>
      <c r="BC50" s="10" t="str">
        <f t="shared" ca="1" si="32"/>
        <v/>
      </c>
      <c r="BD50" s="10" t="str">
        <f t="shared" ca="1" si="32"/>
        <v/>
      </c>
      <c r="BE50" s="10" t="str">
        <f t="shared" ca="1" si="32"/>
        <v/>
      </c>
      <c r="BF50" s="10" t="str">
        <f t="shared" ca="1" si="32"/>
        <v/>
      </c>
      <c r="BG50" s="10" t="str">
        <f t="shared" ca="1" si="32"/>
        <v/>
      </c>
      <c r="BH50" s="10" t="str">
        <f t="shared" ca="1" si="32"/>
        <v/>
      </c>
      <c r="BI50" s="10" t="str">
        <f t="shared" ca="1" si="32"/>
        <v/>
      </c>
      <c r="BJ50" s="10" t="str">
        <f t="shared" ca="1" si="32"/>
        <v/>
      </c>
      <c r="BK50" s="10" t="str">
        <f t="shared" ca="1" si="32"/>
        <v/>
      </c>
      <c r="BL50" s="10" t="str">
        <f t="shared" ca="1" si="32"/>
        <v/>
      </c>
    </row>
    <row r="51" spans="1:64" s="13" customFormat="1" ht="60" customHeight="1">
      <c r="A51" s="328" t="s">
        <v>291</v>
      </c>
      <c r="B51" s="311" t="s">
        <v>290</v>
      </c>
      <c r="C51" s="308" t="s">
        <v>664</v>
      </c>
      <c r="D51" s="311" t="str">
        <f>'Dicionario EAP2'!G58</f>
        <v>Nilton Guerra</v>
      </c>
      <c r="E51" s="312">
        <f>'Dicionario EAP2'!T58</f>
        <v>1</v>
      </c>
      <c r="F51" s="313">
        <f>'Dicionario EAP2'!I58</f>
        <v>44470</v>
      </c>
      <c r="G51" s="311">
        <v>1</v>
      </c>
      <c r="H51" s="30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</row>
    <row r="52" spans="1:64" ht="60" customHeight="1">
      <c r="A52" s="328" t="s">
        <v>296</v>
      </c>
      <c r="B52" s="311" t="s">
        <v>295</v>
      </c>
      <c r="C52" s="308" t="s">
        <v>664</v>
      </c>
      <c r="D52" s="311" t="str">
        <f>'Dicionario EAP2'!G59</f>
        <v>Nilton Guerra</v>
      </c>
      <c r="E52" s="312">
        <f>'Dicionario EAP2'!T59</f>
        <v>1</v>
      </c>
      <c r="F52" s="313">
        <f>'Dicionario EAP2'!I59</f>
        <v>44470</v>
      </c>
      <c r="G52" s="311">
        <v>4</v>
      </c>
      <c r="H52" s="30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</row>
    <row r="53" spans="1:64" ht="60" customHeight="1">
      <c r="A53" s="328" t="s">
        <v>284</v>
      </c>
      <c r="B53" s="311" t="s">
        <v>300</v>
      </c>
      <c r="C53" s="311" t="s">
        <v>665</v>
      </c>
      <c r="D53" s="311" t="str">
        <f>'Dicionario EAP2'!G60</f>
        <v>Nilton Guerra</v>
      </c>
      <c r="E53" s="312">
        <f>'Dicionario EAP2'!T60</f>
        <v>1</v>
      </c>
      <c r="F53" s="313">
        <f>'Dicionario EAP2'!I60</f>
        <v>44470</v>
      </c>
      <c r="G53" s="311">
        <v>4</v>
      </c>
      <c r="H53" s="30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</row>
    <row r="54" spans="1:64" ht="60" customHeight="1">
      <c r="A54" s="328" t="s">
        <v>307</v>
      </c>
      <c r="B54" s="311" t="s">
        <v>305</v>
      </c>
      <c r="C54" s="311" t="s">
        <v>665</v>
      </c>
      <c r="D54" s="311" t="str">
        <f>'Dicionario EAP2'!G61</f>
        <v>Nilton Guerra
Cosme Sousa</v>
      </c>
      <c r="E54" s="312">
        <f>'Dicionario EAP2'!T61</f>
        <v>0</v>
      </c>
      <c r="F54" s="313">
        <f>'Dicionario EAP2'!I61</f>
        <v>0</v>
      </c>
      <c r="G54" s="311"/>
      <c r="H54" s="30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</row>
    <row r="55" spans="1:64" ht="60" customHeight="1">
      <c r="A55" s="328" t="s">
        <v>312</v>
      </c>
      <c r="B55" s="311" t="s">
        <v>310</v>
      </c>
      <c r="C55" s="311" t="s">
        <v>663</v>
      </c>
      <c r="D55" s="311" t="str">
        <f>'Dicionario EAP2'!G62</f>
        <v>Nilton Guerra
Cosme Sousa</v>
      </c>
      <c r="E55" s="312">
        <f>'Dicionario EAP2'!T62</f>
        <v>0</v>
      </c>
      <c r="F55" s="313">
        <f>'Dicionario EAP2'!I62</f>
        <v>0</v>
      </c>
      <c r="G55" s="311"/>
      <c r="H55" s="30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</row>
    <row r="56" spans="1:64" ht="60" customHeight="1">
      <c r="A56" s="328" t="s">
        <v>316</v>
      </c>
      <c r="B56" s="311" t="s">
        <v>314</v>
      </c>
      <c r="C56" s="311" t="s">
        <v>664</v>
      </c>
      <c r="D56" s="311" t="str">
        <f>'Dicionario EAP2'!G63</f>
        <v>Nilton Guerra
Cosme Sousa</v>
      </c>
      <c r="E56" s="312">
        <f>'Dicionario EAP2'!T63</f>
        <v>0</v>
      </c>
      <c r="F56" s="313">
        <f>'Dicionario EAP2'!I63</f>
        <v>0</v>
      </c>
      <c r="G56" s="311"/>
      <c r="H56" s="30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</row>
    <row r="57" spans="1:64" ht="60" customHeight="1">
      <c r="A57" s="328" t="s">
        <v>320</v>
      </c>
      <c r="B57" s="311" t="s">
        <v>318</v>
      </c>
      <c r="C57" s="311" t="s">
        <v>664</v>
      </c>
      <c r="D57" s="311" t="str">
        <f>'Dicionario EAP2'!G64</f>
        <v>Nilton Guerra
Cosme Sousa</v>
      </c>
      <c r="E57" s="312">
        <f>'Dicionario EAP2'!T64</f>
        <v>0</v>
      </c>
      <c r="F57" s="313">
        <f>'Dicionario EAP2'!I64</f>
        <v>0</v>
      </c>
      <c r="G57" s="311"/>
      <c r="H57" s="30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</row>
    <row r="58" spans="1:64" ht="60" customHeight="1">
      <c r="A58" s="328" t="s">
        <v>325</v>
      </c>
      <c r="B58" s="311" t="s">
        <v>323</v>
      </c>
      <c r="C58" s="311" t="s">
        <v>665</v>
      </c>
      <c r="D58" s="311" t="str">
        <f>'Dicionario EAP2'!G65</f>
        <v>Pétrick Gomes         Cosme Sousa
Damião Sousa
Nilton Guerra</v>
      </c>
      <c r="E58" s="312">
        <f>'Dicionario EAP2'!T65</f>
        <v>1</v>
      </c>
      <c r="F58" s="313">
        <f>'Dicionario EAP2'!I65</f>
        <v>44462</v>
      </c>
      <c r="G58" s="311">
        <v>2</v>
      </c>
      <c r="H58" s="30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</row>
    <row r="59" spans="1:64" ht="60" customHeight="1">
      <c r="A59" s="328" t="s">
        <v>331</v>
      </c>
      <c r="B59" s="311" t="s">
        <v>332</v>
      </c>
      <c r="C59" s="311" t="s">
        <v>664</v>
      </c>
      <c r="D59" s="311" t="str">
        <f>'Dicionario EAP2'!G66</f>
        <v>Pétrick Gomes         Cosme Sousa
Damião Sousa
Nilton Guerra</v>
      </c>
      <c r="E59" s="312">
        <f>'Dicionario EAP2'!T66</f>
        <v>1</v>
      </c>
      <c r="F59" s="313">
        <f>'Dicionario EAP2'!I66</f>
        <v>44474</v>
      </c>
      <c r="G59" s="311"/>
      <c r="H59" s="30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</row>
    <row r="60" spans="1:64" ht="60" customHeight="1">
      <c r="A60" s="328" t="s">
        <v>337</v>
      </c>
      <c r="B60" s="311" t="s">
        <v>335</v>
      </c>
      <c r="C60" s="311" t="s">
        <v>665</v>
      </c>
      <c r="D60" s="311" t="str">
        <f>'Dicionario EAP2'!G67</f>
        <v>Cosme Sousa
Damião Sousa
Pétrick Gomes
Nilton Guerra</v>
      </c>
      <c r="E60" s="312">
        <f>'Dicionario EAP2'!T67</f>
        <v>1</v>
      </c>
      <c r="F60" s="313">
        <f>'Dicionario EAP2'!I67</f>
        <v>44466</v>
      </c>
      <c r="G60" s="311">
        <v>1</v>
      </c>
      <c r="H60" s="30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</row>
    <row r="61" spans="1:64" ht="60" customHeight="1">
      <c r="A61" s="328" t="s">
        <v>342</v>
      </c>
      <c r="B61" s="311" t="s">
        <v>340</v>
      </c>
      <c r="C61" s="311" t="s">
        <v>664</v>
      </c>
      <c r="D61" s="311" t="str">
        <f>'Dicionario EAP2'!G68</f>
        <v>Leandro Costa
João Miranda</v>
      </c>
      <c r="E61" s="312">
        <f>'Dicionario EAP2'!T68</f>
        <v>1</v>
      </c>
      <c r="F61" s="313">
        <f>'Dicionario EAP2'!I68</f>
        <v>44487</v>
      </c>
      <c r="G61" s="311"/>
      <c r="H61" s="30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</row>
    <row r="62" spans="1:64" ht="60" customHeight="1">
      <c r="A62" s="328" t="s">
        <v>352</v>
      </c>
      <c r="B62" s="311" t="s">
        <v>350</v>
      </c>
      <c r="C62" s="311" t="s">
        <v>664</v>
      </c>
      <c r="D62" s="311" t="str">
        <f>'Dicionario EAP2'!G69</f>
        <v>Leandro Costa
João Miranda</v>
      </c>
      <c r="E62" s="312">
        <f>'Dicionario EAP2'!T69</f>
        <v>1</v>
      </c>
      <c r="F62" s="313">
        <f>'Dicionario EAP2'!I69</f>
        <v>44487</v>
      </c>
      <c r="G62" s="311">
        <v>4</v>
      </c>
      <c r="H62" s="30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</row>
    <row r="63" spans="1:64" ht="60" customHeight="1">
      <c r="A63" s="328" t="s">
        <v>357</v>
      </c>
      <c r="B63" s="311" t="s">
        <v>355</v>
      </c>
      <c r="C63" s="311" t="s">
        <v>664</v>
      </c>
      <c r="D63" s="311" t="str">
        <f>'Dicionario EAP2'!G70</f>
        <v>Leandro  Costa                                 Pétrick Gomes</v>
      </c>
      <c r="E63" s="312">
        <f>'Dicionario EAP2'!T70</f>
        <v>1</v>
      </c>
      <c r="F63" s="313">
        <f>'Dicionario EAP2'!I69</f>
        <v>44487</v>
      </c>
      <c r="G63" s="311"/>
      <c r="H63" s="30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</row>
    <row r="64" spans="1:64" ht="60" customHeight="1">
      <c r="A64" s="328" t="s">
        <v>362</v>
      </c>
      <c r="B64" s="311" t="s">
        <v>360</v>
      </c>
      <c r="C64" s="311" t="s">
        <v>664</v>
      </c>
      <c r="D64" s="311" t="str">
        <f>'Dicionario EAP2'!G71</f>
        <v>Damião sousa</v>
      </c>
      <c r="E64" s="312">
        <f>'Dicionario EAP2'!T71</f>
        <v>1</v>
      </c>
      <c r="F64" s="313">
        <f>'Dicionario EAP2'!I70</f>
        <v>44498</v>
      </c>
      <c r="G64" s="311"/>
      <c r="H64" s="30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</row>
    <row r="65" spans="1:64" ht="60" customHeight="1">
      <c r="A65" s="328" t="s">
        <v>367</v>
      </c>
      <c r="B65" s="311" t="s">
        <v>365</v>
      </c>
      <c r="C65" s="311" t="s">
        <v>664</v>
      </c>
      <c r="D65" s="311" t="str">
        <f>'Dicionario EAP2'!G72</f>
        <v>Nilton Guerra</v>
      </c>
      <c r="E65" s="312">
        <f>'Dicionario EAP2'!T72</f>
        <v>1</v>
      </c>
      <c r="F65" s="313">
        <f>'Dicionario EAP2'!I71</f>
        <v>44501</v>
      </c>
      <c r="G65" s="311"/>
      <c r="H65" s="30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</row>
    <row r="66" spans="1:64" ht="60" customHeight="1">
      <c r="A66" s="328" t="s">
        <v>367</v>
      </c>
      <c r="B66" s="311" t="s">
        <v>370</v>
      </c>
      <c r="C66" s="311" t="s">
        <v>664</v>
      </c>
      <c r="D66" s="311" t="e">
        <f>'Dicionario EAP2'!#REF!</f>
        <v>#REF!</v>
      </c>
      <c r="E66" s="312" t="e">
        <f>'Dicionario EAP2'!#REF!</f>
        <v>#REF!</v>
      </c>
      <c r="F66" s="313">
        <f>'Dicionario EAP2'!I72</f>
        <v>44501</v>
      </c>
      <c r="G66" s="311"/>
      <c r="H66" s="30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</row>
    <row r="67" spans="1:64" ht="60" customHeight="1">
      <c r="A67" s="328" t="s">
        <v>367</v>
      </c>
      <c r="B67" s="311" t="s">
        <v>373</v>
      </c>
      <c r="C67" s="311" t="s">
        <v>664</v>
      </c>
      <c r="D67" s="311" t="str">
        <f>'Dicionario EAP2'!G73</f>
        <v>Cosme Sousa</v>
      </c>
      <c r="E67" s="312">
        <f>'Dicionario EAP2'!T73</f>
        <v>1</v>
      </c>
      <c r="F67" s="313">
        <f>'Dicionario EAP2'!I73</f>
        <v>44501</v>
      </c>
      <c r="G67" s="311"/>
      <c r="H67" s="30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64" ht="60" customHeight="1">
      <c r="A68" s="328" t="s">
        <v>367</v>
      </c>
      <c r="B68" s="311" t="s">
        <v>377</v>
      </c>
      <c r="C68" s="311" t="s">
        <v>664</v>
      </c>
      <c r="D68" s="311" t="str">
        <f>'Dicionario EAP2'!G74</f>
        <v>Leandro Costa 
João Miranda</v>
      </c>
      <c r="E68" s="312">
        <f>'Dicionario EAP2'!T74</f>
        <v>1</v>
      </c>
      <c r="F68" s="313">
        <f>'Dicionario EAP2'!I74</f>
        <v>44501</v>
      </c>
      <c r="G68" s="311"/>
      <c r="H68" s="30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</row>
    <row r="69" spans="1:64" ht="60" customHeight="1">
      <c r="A69" s="328" t="s">
        <v>367</v>
      </c>
      <c r="B69" s="311" t="s">
        <v>388</v>
      </c>
      <c r="C69" s="311" t="s">
        <v>665</v>
      </c>
      <c r="D69" s="311" t="str">
        <f>'Dicionario EAP2'!G75</f>
        <v>Damião Sousa
Pétrick Gomes</v>
      </c>
      <c r="E69" s="312">
        <f>'Dicionario EAP2'!T75</f>
        <v>1</v>
      </c>
      <c r="F69" s="313">
        <f>'Dicionario EAP2'!I75</f>
        <v>44501</v>
      </c>
      <c r="G69" s="311"/>
      <c r="H69" s="30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64" ht="60" customHeight="1">
      <c r="A70" s="328" t="s">
        <v>394</v>
      </c>
      <c r="B70" s="311" t="s">
        <v>395</v>
      </c>
      <c r="C70" s="311" t="s">
        <v>665</v>
      </c>
      <c r="D70" s="311" t="str">
        <f>'Dicionario EAP2'!G76</f>
        <v>Todos integrantes</v>
      </c>
      <c r="E70" s="312">
        <f>'Dicionario EAP2'!T76</f>
        <v>1</v>
      </c>
      <c r="F70" s="313">
        <f>'Dicionario EAP2'!I76</f>
        <v>44516</v>
      </c>
      <c r="G70" s="311"/>
      <c r="H70" s="30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</row>
    <row r="71" spans="1:64" ht="60" customHeight="1">
      <c r="A71" s="328" t="s">
        <v>394</v>
      </c>
      <c r="B71" s="311" t="s">
        <v>397</v>
      </c>
      <c r="C71" s="311" t="s">
        <v>665</v>
      </c>
      <c r="D71" s="311" t="str">
        <f>'Dicionario EAP2'!G77</f>
        <v>Leandro  Costa                                 Pétrick Gomes</v>
      </c>
      <c r="E71" s="312">
        <f>'Dicionario EAP2'!T77</f>
        <v>1</v>
      </c>
      <c r="F71" s="313">
        <f>'Dicionario EAP2'!I77</f>
        <v>44503</v>
      </c>
      <c r="G71" s="311"/>
      <c r="H71" s="30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64" ht="60" customHeight="1">
      <c r="A72" s="328" t="s">
        <v>403</v>
      </c>
      <c r="B72" s="311" t="s">
        <v>401</v>
      </c>
      <c r="C72" s="311" t="s">
        <v>665</v>
      </c>
      <c r="D72" s="311" t="str">
        <f>'Dicionario EAP2'!G78</f>
        <v>Leandro  Costa                                 Pétrick Gomes</v>
      </c>
      <c r="E72" s="312">
        <f>'Dicionario EAP2'!T78</f>
        <v>1</v>
      </c>
      <c r="F72" s="313">
        <f>'Dicionario EAP2'!I78</f>
        <v>44518</v>
      </c>
      <c r="G72" s="311"/>
      <c r="H72" s="30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</row>
    <row r="73" spans="1:64" ht="60" customHeight="1">
      <c r="A73" s="328" t="s">
        <v>407</v>
      </c>
      <c r="B73" s="311" t="s">
        <v>408</v>
      </c>
      <c r="C73" s="311" t="s">
        <v>665</v>
      </c>
      <c r="D73" s="311" t="str">
        <f>'Dicionario EAP2'!G79</f>
        <v>Todos integrantes</v>
      </c>
      <c r="E73" s="312">
        <f>'Dicionario EAP2'!T79</f>
        <v>1</v>
      </c>
      <c r="F73" s="313">
        <f>'Dicionario EAP2'!I79</f>
        <v>44518</v>
      </c>
      <c r="G73" s="311"/>
      <c r="H73" s="30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</row>
    <row r="74" spans="1:64" ht="60" customHeight="1">
      <c r="A74" s="328" t="s">
        <v>394</v>
      </c>
      <c r="B74" s="311" t="s">
        <v>414</v>
      </c>
      <c r="C74" s="311" t="s">
        <v>665</v>
      </c>
      <c r="D74" s="311" t="str">
        <f>'Dicionario EAP2'!G80</f>
        <v>Todos os integrantes</v>
      </c>
      <c r="E74" s="312">
        <f>'Dicionario EAP2'!T80</f>
        <v>1.027027027027027</v>
      </c>
      <c r="F74" s="313">
        <f>'Dicionario EAP2'!I80</f>
        <v>44516</v>
      </c>
      <c r="G74" s="311"/>
      <c r="H74" s="30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</row>
    <row r="75" spans="1:64" ht="60" customHeight="1">
      <c r="A75" s="328" t="s">
        <v>419</v>
      </c>
      <c r="B75" s="311" t="s">
        <v>418</v>
      </c>
      <c r="C75" s="311" t="s">
        <v>665</v>
      </c>
      <c r="D75" s="311" t="str">
        <f>'Dicionario EAP2'!G81</f>
        <v>Todos os integrantes</v>
      </c>
      <c r="E75" s="312">
        <f>'Dicionario EAP2'!T81</f>
        <v>1</v>
      </c>
      <c r="F75" s="313">
        <f>'Dicionario EAP2'!I81</f>
        <v>44523</v>
      </c>
      <c r="G75" s="311"/>
      <c r="H75" s="30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</row>
    <row r="76" spans="1:64" ht="60" customHeight="1">
      <c r="A76" s="328" t="s">
        <v>424</v>
      </c>
      <c r="B76" s="311" t="s">
        <v>423</v>
      </c>
      <c r="C76" s="311" t="s">
        <v>665</v>
      </c>
      <c r="D76" s="311" t="str">
        <f>'Dicionario EAP2'!G82</f>
        <v>Todos os integrantes</v>
      </c>
      <c r="E76" s="312">
        <f>'Dicionario EAP2'!T82</f>
        <v>1</v>
      </c>
      <c r="F76" s="313">
        <f>'Dicionario EAP2'!I82</f>
        <v>44524</v>
      </c>
      <c r="G76" s="311"/>
      <c r="H76" s="30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</row>
    <row r="77" spans="1:64" ht="60" customHeight="1">
      <c r="A77" s="328" t="s">
        <v>430</v>
      </c>
      <c r="B77" s="311" t="s">
        <v>429</v>
      </c>
      <c r="C77" s="311" t="s">
        <v>665</v>
      </c>
      <c r="D77" s="311" t="str">
        <f>'Dicionario EAP2'!G83</f>
        <v xml:space="preserve">Leandro Costa </v>
      </c>
      <c r="E77" s="312">
        <f>'Dicionario EAP2'!T83</f>
        <v>1</v>
      </c>
      <c r="F77" s="313">
        <f>'Dicionario EAP2'!I83</f>
        <v>44525</v>
      </c>
      <c r="G77" s="311"/>
      <c r="H77" s="30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</row>
    <row r="78" spans="1:64" ht="60" customHeight="1">
      <c r="A78" s="328" t="s">
        <v>437</v>
      </c>
      <c r="B78" s="311" t="s">
        <v>436</v>
      </c>
      <c r="C78" s="311" t="s">
        <v>665</v>
      </c>
      <c r="D78" s="311" t="str">
        <f>'Dicionario EAP2'!G84</f>
        <v>Nilton Guerra</v>
      </c>
      <c r="E78" s="312">
        <f>'Dicionario EAP2'!T84</f>
        <v>1</v>
      </c>
      <c r="F78" s="313">
        <f>'Dicionario EAP2'!I84</f>
        <v>44477</v>
      </c>
      <c r="G78" s="311"/>
      <c r="H78" s="30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</row>
    <row r="79" spans="1:64" ht="60" customHeight="1">
      <c r="A79" s="328" t="s">
        <v>442</v>
      </c>
      <c r="B79" s="311" t="s">
        <v>441</v>
      </c>
      <c r="C79" s="311" t="s">
        <v>665</v>
      </c>
      <c r="D79" s="311" t="str">
        <f>'Dicionario EAP2'!G85</f>
        <v>Todos os integrantes</v>
      </c>
      <c r="E79" s="312">
        <f>'Dicionario EAP2'!T85</f>
        <v>1</v>
      </c>
      <c r="F79" s="313">
        <f>'Dicionario EAP2'!I85</f>
        <v>44523</v>
      </c>
      <c r="G79" s="311"/>
      <c r="H79" s="30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31"/>
      <c r="AJ79" s="31"/>
      <c r="AK79" s="31"/>
      <c r="AL79" s="31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</row>
    <row r="80" spans="1:64" ht="60" customHeight="1">
      <c r="A80" s="328" t="s">
        <v>447</v>
      </c>
      <c r="B80" s="311" t="s">
        <v>446</v>
      </c>
      <c r="C80" s="311" t="s">
        <v>665</v>
      </c>
      <c r="D80" s="311" t="str">
        <f>'Dicionario EAP2'!G86</f>
        <v>Todos os integrantes</v>
      </c>
      <c r="E80" s="312">
        <f>'Dicionario EAP2'!T86</f>
        <v>1</v>
      </c>
      <c r="F80" s="313">
        <f>'Dicionario EAP2'!I86</f>
        <v>44524</v>
      </c>
      <c r="G80" s="311"/>
      <c r="H80" s="30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</row>
    <row r="81" spans="1:64" ht="60" customHeight="1">
      <c r="A81" s="328" t="s">
        <v>451</v>
      </c>
      <c r="B81" s="311" t="s">
        <v>450</v>
      </c>
      <c r="C81" s="311" t="s">
        <v>665</v>
      </c>
      <c r="D81" s="311" t="str">
        <f>'Dicionario EAP2'!G87</f>
        <v>Todos os integrantes</v>
      </c>
      <c r="E81" s="312">
        <f>'Dicionario EAP2'!T87</f>
        <v>5.5</v>
      </c>
      <c r="F81" s="313">
        <f>'Dicionario EAP2'!I87</f>
        <v>44531</v>
      </c>
      <c r="G81" s="311"/>
      <c r="H81" s="30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</row>
    <row r="82" spans="1:64" ht="30" customHeight="1">
      <c r="A82" s="115"/>
      <c r="B82" s="116"/>
      <c r="C82" s="117"/>
      <c r="D82" s="117"/>
      <c r="E82" s="118"/>
      <c r="F82" s="119"/>
      <c r="G82" s="120"/>
      <c r="H82" s="30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</row>
    <row r="83" spans="1:64" ht="30" customHeight="1">
      <c r="A83" s="115"/>
      <c r="B83" s="116"/>
      <c r="C83" s="117"/>
      <c r="D83" s="117"/>
      <c r="E83" s="118"/>
      <c r="F83" s="119"/>
      <c r="G83" s="120"/>
      <c r="H83" s="30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</row>
    <row r="84" spans="1:64" ht="30" customHeight="1">
      <c r="A84" s="115"/>
      <c r="B84" s="116"/>
      <c r="C84" s="117"/>
      <c r="D84" s="117"/>
      <c r="E84" s="118"/>
      <c r="F84" s="119"/>
      <c r="G84" s="120"/>
      <c r="H84" s="30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</row>
    <row r="85" spans="1:64" ht="30" customHeight="1">
      <c r="A85" s="115"/>
      <c r="B85" s="116"/>
      <c r="C85" s="117"/>
      <c r="D85" s="117"/>
      <c r="E85" s="118"/>
      <c r="F85" s="119"/>
      <c r="G85" s="120"/>
      <c r="H85" s="30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</row>
    <row r="86" spans="1:64" ht="30" customHeight="1">
      <c r="A86" s="115"/>
      <c r="B86" s="116"/>
      <c r="C86" s="117"/>
      <c r="D86" s="117"/>
      <c r="E86" s="118"/>
      <c r="F86" s="119"/>
      <c r="G86" s="120"/>
      <c r="H86" s="30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</row>
    <row r="87" spans="1:64" ht="30" customHeight="1">
      <c r="A87" s="115"/>
      <c r="B87" s="116"/>
      <c r="C87" s="117"/>
      <c r="D87" s="117"/>
      <c r="E87" s="118"/>
      <c r="F87" s="119"/>
      <c r="G87" s="120"/>
      <c r="H87" s="30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</row>
    <row r="88" spans="1:64" ht="30" customHeight="1">
      <c r="A88" s="115"/>
      <c r="B88" s="116"/>
      <c r="C88" s="117"/>
      <c r="D88" s="117"/>
      <c r="E88" s="118"/>
      <c r="F88" s="119"/>
      <c r="G88" s="120"/>
      <c r="H88" s="30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</row>
    <row r="89" spans="1:64" ht="30" customHeight="1">
      <c r="A89" s="115"/>
      <c r="B89" s="116"/>
      <c r="C89" s="117"/>
      <c r="D89" s="117"/>
      <c r="E89" s="118"/>
      <c r="F89" s="119"/>
      <c r="G89" s="120"/>
      <c r="H89" s="30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</row>
    <row r="90" spans="1:64" ht="30" customHeight="1">
      <c r="A90" s="115"/>
      <c r="B90" s="116"/>
      <c r="C90" s="117"/>
      <c r="D90" s="117"/>
      <c r="E90" s="118"/>
      <c r="F90" s="119"/>
      <c r="G90" s="120"/>
      <c r="H90" s="30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</row>
    <row r="91" spans="1:64" ht="30" customHeight="1">
      <c r="A91" s="115"/>
      <c r="B91" s="116"/>
      <c r="C91" s="117"/>
      <c r="D91" s="117"/>
      <c r="E91" s="118"/>
      <c r="F91" s="119"/>
      <c r="G91" s="120"/>
      <c r="H91" s="30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</row>
    <row r="92" spans="1:64" ht="30" customHeight="1">
      <c r="A92" s="115"/>
      <c r="B92" s="116"/>
      <c r="C92" s="117"/>
      <c r="D92" s="117"/>
      <c r="E92" s="118"/>
      <c r="F92" s="119"/>
      <c r="G92" s="120"/>
      <c r="H92" s="30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</row>
    <row r="93" spans="1:64" ht="30" customHeight="1">
      <c r="A93" s="115"/>
      <c r="B93" s="116"/>
      <c r="C93" s="117"/>
      <c r="D93" s="117"/>
      <c r="E93" s="118"/>
      <c r="F93" s="119"/>
      <c r="G93" s="120"/>
      <c r="H93" s="30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</row>
    <row r="94" spans="1:64" ht="30" customHeight="1">
      <c r="A94" s="115"/>
      <c r="B94" s="116"/>
      <c r="C94" s="117"/>
      <c r="D94" s="117"/>
      <c r="E94" s="118"/>
      <c r="F94" s="119"/>
      <c r="G94" s="120"/>
      <c r="H94" s="30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</row>
    <row r="95" spans="1:64" ht="30" customHeight="1">
      <c r="A95" s="115"/>
      <c r="B95" s="116"/>
      <c r="C95" s="117"/>
      <c r="D95" s="117"/>
      <c r="E95" s="118"/>
      <c r="F95" s="119"/>
      <c r="G95" s="120"/>
      <c r="H95" s="30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</row>
    <row r="96" spans="1:64" ht="30" customHeight="1">
      <c r="A96" s="115"/>
      <c r="B96" s="116"/>
      <c r="C96" s="117"/>
      <c r="D96" s="117"/>
      <c r="E96" s="118"/>
      <c r="F96" s="119"/>
      <c r="G96" s="120"/>
      <c r="H96" s="30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</row>
    <row r="97" spans="1:64" ht="30" customHeight="1">
      <c r="A97" s="115"/>
      <c r="B97" s="116"/>
      <c r="C97" s="117"/>
      <c r="D97" s="117"/>
      <c r="E97" s="118"/>
      <c r="F97" s="119"/>
      <c r="G97" s="120"/>
      <c r="H97" s="30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/>
      <c r="BD97" s="121"/>
      <c r="BE97" s="121"/>
      <c r="BF97" s="121"/>
      <c r="BG97" s="121"/>
      <c r="BH97" s="121"/>
      <c r="BI97" s="121"/>
      <c r="BJ97" s="121"/>
      <c r="BK97" s="121"/>
      <c r="BL97" s="121"/>
    </row>
    <row r="98" spans="1:64" ht="30" customHeight="1">
      <c r="A98" s="115"/>
      <c r="B98" s="116"/>
      <c r="C98" s="117"/>
      <c r="D98" s="117"/>
      <c r="E98" s="118"/>
      <c r="F98" s="119"/>
      <c r="G98" s="120"/>
      <c r="H98" s="30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</row>
    <row r="99" spans="1:64" ht="30" customHeight="1">
      <c r="A99" s="115"/>
      <c r="B99" s="116"/>
      <c r="C99" s="117"/>
      <c r="D99" s="117"/>
      <c r="E99" s="118"/>
      <c r="F99" s="119"/>
      <c r="G99" s="120"/>
      <c r="H99" s="30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  <c r="BI99" s="121"/>
      <c r="BJ99" s="121"/>
      <c r="BK99" s="121"/>
      <c r="BL99" s="121"/>
    </row>
    <row r="100" spans="1:64" ht="30" customHeight="1">
      <c r="A100" s="115"/>
      <c r="B100" s="116"/>
      <c r="C100" s="117"/>
      <c r="D100" s="117"/>
      <c r="E100" s="118"/>
      <c r="F100" s="119"/>
      <c r="G100" s="120"/>
      <c r="H100" s="30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  <c r="BI100" s="121"/>
      <c r="BJ100" s="121"/>
      <c r="BK100" s="121"/>
      <c r="BL100" s="121"/>
    </row>
    <row r="101" spans="1:64" ht="30" customHeight="1">
      <c r="A101" s="115"/>
      <c r="B101" s="116"/>
      <c r="C101" s="117"/>
      <c r="D101" s="117"/>
      <c r="E101" s="118"/>
      <c r="F101" s="119"/>
      <c r="G101" s="120"/>
      <c r="H101" s="30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</row>
    <row r="102" spans="1:64" ht="30" customHeight="1">
      <c r="A102" s="115"/>
      <c r="B102" s="116"/>
      <c r="C102" s="117"/>
      <c r="D102" s="117"/>
      <c r="E102" s="118"/>
      <c r="F102" s="119"/>
      <c r="G102" s="120"/>
      <c r="H102" s="30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</row>
    <row r="103" spans="1:64" ht="30" customHeight="1">
      <c r="A103" s="115"/>
      <c r="B103" s="116"/>
      <c r="C103" s="117"/>
      <c r="D103" s="117"/>
      <c r="E103" s="118"/>
      <c r="F103" s="119"/>
      <c r="G103" s="120"/>
      <c r="H103" s="30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  <c r="BE103" s="121"/>
      <c r="BF103" s="121"/>
      <c r="BG103" s="121"/>
      <c r="BH103" s="121"/>
      <c r="BI103" s="121"/>
      <c r="BJ103" s="121"/>
      <c r="BK103" s="121"/>
      <c r="BL103" s="121"/>
    </row>
    <row r="104" spans="1:64" ht="30" customHeight="1">
      <c r="A104" s="115"/>
      <c r="B104" s="116"/>
      <c r="C104" s="117"/>
      <c r="D104" s="117"/>
      <c r="E104" s="118"/>
      <c r="F104" s="119"/>
      <c r="G104" s="120"/>
      <c r="H104" s="30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121"/>
      <c r="BI104" s="121"/>
      <c r="BJ104" s="121"/>
      <c r="BK104" s="121"/>
      <c r="BL104" s="121"/>
    </row>
    <row r="105" spans="1:64" ht="30" customHeight="1">
      <c r="A105" s="115"/>
      <c r="B105" s="116"/>
      <c r="C105" s="117"/>
      <c r="D105" s="117"/>
      <c r="E105" s="118"/>
      <c r="F105" s="119"/>
      <c r="G105" s="120"/>
      <c r="H105" s="30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121"/>
      <c r="BL105" s="121"/>
    </row>
    <row r="106" spans="1:64" ht="30" customHeight="1">
      <c r="A106" s="115"/>
      <c r="B106" s="116"/>
      <c r="C106" s="117"/>
      <c r="D106" s="117"/>
      <c r="E106" s="118"/>
      <c r="F106" s="119"/>
      <c r="G106" s="120"/>
      <c r="H106" s="30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  <c r="BE106" s="121"/>
      <c r="BF106" s="121"/>
      <c r="BG106" s="121"/>
      <c r="BH106" s="121"/>
      <c r="BI106" s="121"/>
      <c r="BJ106" s="121"/>
      <c r="BK106" s="121"/>
      <c r="BL106" s="121"/>
    </row>
    <row r="107" spans="1:64" ht="30" customHeight="1">
      <c r="A107" s="115"/>
      <c r="B107" s="116"/>
      <c r="C107" s="117"/>
      <c r="D107" s="117"/>
      <c r="E107" s="118"/>
      <c r="F107" s="119"/>
      <c r="G107" s="120"/>
      <c r="H107" s="30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</row>
    <row r="108" spans="1:64" ht="30" customHeight="1">
      <c r="A108" s="115"/>
      <c r="B108" s="116"/>
      <c r="C108" s="117"/>
      <c r="D108" s="117"/>
      <c r="E108" s="118"/>
      <c r="F108" s="119"/>
      <c r="G108" s="120"/>
      <c r="H108" s="30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  <c r="BI108" s="121"/>
      <c r="BJ108" s="121"/>
      <c r="BK108" s="121"/>
      <c r="BL108" s="121"/>
    </row>
    <row r="109" spans="1:64" ht="30" customHeight="1">
      <c r="A109" s="115"/>
      <c r="B109" s="116"/>
      <c r="C109" s="117"/>
      <c r="D109" s="117"/>
      <c r="E109" s="118"/>
      <c r="F109" s="119"/>
      <c r="G109" s="120"/>
      <c r="H109" s="30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</row>
    <row r="110" spans="1:64" ht="30" customHeight="1">
      <c r="A110" s="115"/>
      <c r="B110" s="116"/>
      <c r="C110" s="117"/>
      <c r="D110" s="117"/>
      <c r="E110" s="118"/>
      <c r="F110" s="119"/>
      <c r="G110" s="120"/>
      <c r="H110" s="30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</row>
    <row r="111" spans="1:64" ht="30" customHeight="1">
      <c r="A111" s="115"/>
      <c r="B111" s="116"/>
      <c r="C111" s="117"/>
      <c r="D111" s="117"/>
      <c r="E111" s="118"/>
      <c r="F111" s="119"/>
      <c r="G111" s="120"/>
      <c r="H111" s="30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  <c r="BE111" s="121"/>
      <c r="BF111" s="121"/>
      <c r="BG111" s="121"/>
      <c r="BH111" s="121"/>
      <c r="BI111" s="121"/>
      <c r="BJ111" s="121"/>
      <c r="BK111" s="121"/>
      <c r="BL111" s="121"/>
    </row>
    <row r="112" spans="1:64" ht="30" customHeight="1">
      <c r="A112" s="115"/>
      <c r="B112" s="116"/>
      <c r="C112" s="117"/>
      <c r="D112" s="117"/>
      <c r="E112" s="118"/>
      <c r="F112" s="119"/>
      <c r="G112" s="120"/>
      <c r="H112" s="30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  <c r="BG112" s="121"/>
      <c r="BH112" s="121"/>
      <c r="BI112" s="121"/>
      <c r="BJ112" s="121"/>
      <c r="BK112" s="121"/>
      <c r="BL112" s="121"/>
    </row>
    <row r="113" spans="1:64" ht="30" customHeight="1">
      <c r="A113" s="115"/>
      <c r="B113" s="116"/>
      <c r="C113" s="117"/>
      <c r="D113" s="117"/>
      <c r="E113" s="118"/>
      <c r="F113" s="119"/>
      <c r="G113" s="120"/>
      <c r="H113" s="30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C113" s="121"/>
      <c r="BD113" s="121"/>
      <c r="BE113" s="121"/>
      <c r="BF113" s="121"/>
      <c r="BG113" s="121"/>
      <c r="BH113" s="121"/>
      <c r="BI113" s="121"/>
      <c r="BJ113" s="121"/>
      <c r="BK113" s="121"/>
      <c r="BL113" s="121"/>
    </row>
    <row r="114" spans="1:64" ht="30" customHeight="1">
      <c r="A114" s="115"/>
      <c r="B114" s="116"/>
      <c r="C114" s="117"/>
      <c r="D114" s="117"/>
      <c r="E114" s="118"/>
      <c r="F114" s="119"/>
      <c r="G114" s="120"/>
      <c r="H114" s="30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  <c r="BI114" s="121"/>
      <c r="BJ114" s="121"/>
      <c r="BK114" s="121"/>
      <c r="BL114" s="121"/>
    </row>
    <row r="115" spans="1:64" ht="30" customHeight="1">
      <c r="A115" s="115"/>
      <c r="B115" s="116"/>
      <c r="C115" s="117"/>
      <c r="D115" s="117"/>
      <c r="E115" s="118"/>
      <c r="F115" s="119"/>
      <c r="G115" s="120"/>
      <c r="H115" s="30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</row>
    <row r="116" spans="1:64" ht="30" customHeight="1">
      <c r="A116" s="115"/>
      <c r="B116" s="116"/>
      <c r="C116" s="117"/>
      <c r="D116" s="117"/>
      <c r="E116" s="118"/>
      <c r="F116" s="119"/>
      <c r="G116" s="120"/>
      <c r="H116" s="30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</row>
    <row r="117" spans="1:64" ht="30" customHeight="1">
      <c r="A117" s="115"/>
      <c r="B117" s="116"/>
      <c r="C117" s="117"/>
      <c r="D117" s="117"/>
      <c r="E117" s="118"/>
      <c r="F117" s="119"/>
      <c r="G117" s="120"/>
      <c r="H117" s="30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</row>
    <row r="118" spans="1:64" ht="30" customHeight="1">
      <c r="A118" s="115"/>
      <c r="B118" s="116"/>
      <c r="C118" s="117"/>
      <c r="D118" s="117"/>
      <c r="E118" s="118"/>
      <c r="F118" s="119"/>
      <c r="G118" s="120"/>
      <c r="H118" s="30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  <c r="AV118" s="121"/>
      <c r="AW118" s="121"/>
      <c r="AX118" s="121"/>
      <c r="AY118" s="121"/>
      <c r="AZ118" s="121"/>
      <c r="BA118" s="121"/>
      <c r="BB118" s="121"/>
      <c r="BC118" s="121"/>
      <c r="BD118" s="121"/>
      <c r="BE118" s="121"/>
      <c r="BF118" s="121"/>
      <c r="BG118" s="121"/>
      <c r="BH118" s="121"/>
      <c r="BI118" s="121"/>
      <c r="BJ118" s="121"/>
      <c r="BK118" s="121"/>
      <c r="BL118" s="121"/>
    </row>
    <row r="119" spans="1:64" ht="30" customHeight="1">
      <c r="A119" s="115"/>
      <c r="B119" s="116"/>
      <c r="C119" s="117"/>
      <c r="D119" s="117"/>
      <c r="E119" s="118"/>
      <c r="F119" s="119"/>
      <c r="G119" s="120"/>
      <c r="H119" s="30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  <c r="BE119" s="121"/>
      <c r="BF119" s="121"/>
      <c r="BG119" s="121"/>
      <c r="BH119" s="121"/>
      <c r="BI119" s="121"/>
      <c r="BJ119" s="121"/>
      <c r="BK119" s="121"/>
      <c r="BL119" s="121"/>
    </row>
    <row r="120" spans="1:64" ht="30" customHeight="1">
      <c r="A120" s="115"/>
      <c r="B120" s="116"/>
      <c r="C120" s="117"/>
      <c r="D120" s="117"/>
      <c r="E120" s="118"/>
      <c r="F120" s="119"/>
      <c r="G120" s="120"/>
      <c r="H120" s="30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</row>
    <row r="121" spans="1:64" ht="30" customHeight="1">
      <c r="A121" s="115"/>
      <c r="B121" s="116"/>
      <c r="C121" s="117"/>
      <c r="D121" s="117"/>
      <c r="E121" s="118"/>
      <c r="F121" s="119"/>
      <c r="G121" s="120"/>
      <c r="H121" s="30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</row>
    <row r="122" spans="1:64" ht="30" customHeight="1">
      <c r="A122" s="115"/>
      <c r="B122" s="116"/>
      <c r="C122" s="117"/>
      <c r="D122" s="117"/>
      <c r="E122" s="118"/>
      <c r="F122" s="119"/>
      <c r="G122" s="120"/>
      <c r="H122" s="30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21"/>
      <c r="AX122" s="121"/>
      <c r="AY122" s="121"/>
      <c r="AZ122" s="121"/>
      <c r="BA122" s="121"/>
      <c r="BB122" s="121"/>
      <c r="BC122" s="121"/>
      <c r="BD122" s="121"/>
      <c r="BE122" s="121"/>
      <c r="BF122" s="121"/>
      <c r="BG122" s="121"/>
      <c r="BH122" s="121"/>
      <c r="BI122" s="121"/>
      <c r="BJ122" s="121"/>
      <c r="BK122" s="121"/>
      <c r="BL122" s="121"/>
    </row>
    <row r="123" spans="1:64" ht="30" customHeight="1">
      <c r="A123" s="115"/>
      <c r="B123" s="116"/>
      <c r="C123" s="117"/>
      <c r="D123" s="117"/>
      <c r="E123" s="118"/>
      <c r="F123" s="119"/>
      <c r="G123" s="120"/>
      <c r="H123" s="30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21"/>
      <c r="BF123" s="121"/>
      <c r="BG123" s="121"/>
      <c r="BH123" s="121"/>
      <c r="BI123" s="121"/>
      <c r="BJ123" s="121"/>
      <c r="BK123" s="121"/>
      <c r="BL123" s="121"/>
    </row>
    <row r="124" spans="1:64" ht="30" customHeight="1">
      <c r="A124" s="115"/>
      <c r="B124" s="116"/>
      <c r="C124" s="117"/>
      <c r="D124" s="117"/>
      <c r="E124" s="118"/>
      <c r="F124" s="119"/>
      <c r="G124" s="120"/>
      <c r="H124" s="30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</row>
    <row r="125" spans="1:64" ht="30" customHeight="1">
      <c r="A125" s="115"/>
      <c r="B125" s="116"/>
      <c r="C125" s="117"/>
      <c r="D125" s="117"/>
      <c r="E125" s="118"/>
      <c r="F125" s="119"/>
      <c r="G125" s="120"/>
      <c r="H125" s="30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</row>
    <row r="126" spans="1:64" ht="30" customHeight="1">
      <c r="A126" s="115"/>
      <c r="B126" s="116"/>
      <c r="C126" s="117"/>
      <c r="D126" s="117"/>
      <c r="E126" s="118"/>
      <c r="F126" s="119"/>
      <c r="G126" s="120"/>
      <c r="H126" s="30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</row>
    <row r="127" spans="1:64" ht="30" customHeight="1">
      <c r="A127" s="115"/>
      <c r="B127" s="116"/>
      <c r="C127" s="117"/>
      <c r="D127" s="117"/>
      <c r="E127" s="118"/>
      <c r="F127" s="119"/>
      <c r="G127" s="120"/>
      <c r="H127" s="30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</row>
    <row r="128" spans="1:64" ht="30" customHeight="1">
      <c r="A128" s="115"/>
      <c r="B128" s="116"/>
      <c r="C128" s="117"/>
      <c r="D128" s="117"/>
      <c r="E128" s="118"/>
      <c r="F128" s="119"/>
      <c r="G128" s="120"/>
      <c r="H128" s="30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</row>
    <row r="129" spans="1:64" ht="30" customHeight="1">
      <c r="A129" s="115"/>
      <c r="B129" s="116"/>
      <c r="C129" s="117"/>
      <c r="D129" s="117"/>
      <c r="E129" s="118"/>
      <c r="F129" s="119"/>
      <c r="G129" s="120"/>
      <c r="H129" s="30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</row>
    <row r="130" spans="1:64" ht="30" customHeight="1">
      <c r="A130" s="115"/>
      <c r="B130" s="116"/>
      <c r="C130" s="117"/>
      <c r="D130" s="117"/>
      <c r="E130" s="118"/>
      <c r="F130" s="119"/>
      <c r="G130" s="120"/>
      <c r="H130" s="30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</row>
    <row r="131" spans="1:64" ht="30" customHeight="1">
      <c r="A131" s="115"/>
      <c r="B131" s="116"/>
      <c r="C131" s="117"/>
      <c r="D131" s="117"/>
      <c r="E131" s="118"/>
      <c r="F131" s="119"/>
      <c r="G131" s="120"/>
      <c r="H131" s="30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</row>
    <row r="132" spans="1:64" ht="30" customHeight="1">
      <c r="A132" s="115"/>
      <c r="B132" s="116"/>
      <c r="C132" s="117"/>
      <c r="D132" s="117"/>
      <c r="E132" s="118"/>
      <c r="F132" s="119"/>
      <c r="G132" s="120"/>
      <c r="H132" s="30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</row>
    <row r="133" spans="1:64" ht="30" customHeight="1">
      <c r="A133" s="115"/>
      <c r="B133" s="116"/>
      <c r="C133" s="117"/>
      <c r="D133" s="117"/>
      <c r="E133" s="118"/>
      <c r="F133" s="119"/>
      <c r="G133" s="120"/>
      <c r="H133" s="30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</row>
    <row r="134" spans="1:64" ht="30" customHeight="1">
      <c r="A134" s="115"/>
      <c r="B134" s="116"/>
      <c r="C134" s="117"/>
      <c r="D134" s="117"/>
      <c r="E134" s="118"/>
      <c r="F134" s="119"/>
      <c r="G134" s="120"/>
      <c r="H134" s="30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  <c r="BG134" s="121"/>
      <c r="BH134" s="121"/>
      <c r="BI134" s="121"/>
      <c r="BJ134" s="121"/>
      <c r="BK134" s="121"/>
      <c r="BL134" s="121"/>
    </row>
    <row r="135" spans="1:64" ht="30" customHeight="1">
      <c r="A135" s="115"/>
      <c r="B135" s="116"/>
      <c r="C135" s="117"/>
      <c r="D135" s="117"/>
      <c r="E135" s="118"/>
      <c r="F135" s="119"/>
      <c r="G135" s="120"/>
      <c r="H135" s="30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21"/>
      <c r="BL135" s="121"/>
    </row>
    <row r="136" spans="1:64" ht="30" customHeight="1">
      <c r="A136" s="115"/>
      <c r="B136" s="116"/>
      <c r="C136" s="117"/>
      <c r="D136" s="117"/>
      <c r="E136" s="118"/>
      <c r="F136" s="119"/>
      <c r="G136" s="120"/>
      <c r="H136" s="30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  <c r="BI136" s="121"/>
      <c r="BJ136" s="121"/>
      <c r="BK136" s="121"/>
      <c r="BL136" s="121"/>
    </row>
    <row r="137" spans="1:64" ht="30" customHeight="1">
      <c r="A137" s="115"/>
      <c r="B137" s="116"/>
      <c r="C137" s="117"/>
      <c r="D137" s="117"/>
      <c r="E137" s="118"/>
      <c r="F137" s="119"/>
      <c r="G137" s="120"/>
      <c r="H137" s="30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  <c r="BG137" s="121"/>
      <c r="BH137" s="121"/>
      <c r="BI137" s="121"/>
      <c r="BJ137" s="121"/>
      <c r="BK137" s="121"/>
      <c r="BL137" s="121"/>
    </row>
    <row r="138" spans="1:64" ht="30" customHeight="1">
      <c r="A138" s="115"/>
      <c r="B138" s="116"/>
      <c r="C138" s="117"/>
      <c r="D138" s="117"/>
      <c r="E138" s="118"/>
      <c r="F138" s="119"/>
      <c r="G138" s="120"/>
      <c r="H138" s="30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  <c r="BG138" s="121"/>
      <c r="BH138" s="121"/>
      <c r="BI138" s="121"/>
      <c r="BJ138" s="121"/>
      <c r="BK138" s="121"/>
      <c r="BL138" s="121"/>
    </row>
    <row r="139" spans="1:64" ht="30" customHeight="1">
      <c r="A139" s="115"/>
      <c r="B139" s="116"/>
      <c r="C139" s="117"/>
      <c r="D139" s="117"/>
      <c r="E139" s="118"/>
      <c r="F139" s="119"/>
      <c r="G139" s="120"/>
      <c r="H139" s="30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</row>
    <row r="140" spans="1:64" ht="30" customHeight="1">
      <c r="A140" s="115"/>
      <c r="B140" s="116"/>
      <c r="C140" s="117"/>
      <c r="D140" s="117"/>
      <c r="E140" s="118"/>
      <c r="F140" s="119"/>
      <c r="G140" s="120"/>
      <c r="H140" s="30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  <c r="BI140" s="121"/>
      <c r="BJ140" s="121"/>
      <c r="BK140" s="121"/>
      <c r="BL140" s="121"/>
    </row>
    <row r="141" spans="1:64" ht="30" customHeight="1">
      <c r="A141" s="115"/>
      <c r="B141" s="116"/>
      <c r="C141" s="117"/>
      <c r="D141" s="117"/>
      <c r="E141" s="118"/>
      <c r="F141" s="119"/>
      <c r="G141" s="120"/>
      <c r="H141" s="30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</row>
    <row r="142" spans="1:64" ht="30" customHeight="1">
      <c r="A142" s="115"/>
      <c r="B142" s="116"/>
      <c r="C142" s="117"/>
      <c r="D142" s="117"/>
      <c r="E142" s="118"/>
      <c r="F142" s="119"/>
      <c r="G142" s="120"/>
      <c r="H142" s="30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  <c r="BI142" s="121"/>
      <c r="BJ142" s="121"/>
      <c r="BK142" s="121"/>
      <c r="BL142" s="121"/>
    </row>
    <row r="143" spans="1:64" ht="30" customHeight="1">
      <c r="A143" s="115"/>
      <c r="B143" s="116"/>
      <c r="C143" s="117"/>
      <c r="D143" s="117"/>
      <c r="E143" s="118"/>
      <c r="F143" s="119"/>
      <c r="G143" s="120"/>
      <c r="H143" s="30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121"/>
      <c r="BL143" s="121"/>
    </row>
    <row r="144" spans="1:64" ht="30" customHeight="1">
      <c r="A144" s="115"/>
      <c r="B144" s="116"/>
      <c r="C144" s="117"/>
      <c r="D144" s="117"/>
      <c r="E144" s="118"/>
      <c r="F144" s="119"/>
      <c r="G144" s="120"/>
      <c r="H144" s="30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  <c r="BI144" s="121"/>
      <c r="BJ144" s="121"/>
      <c r="BK144" s="121"/>
      <c r="BL144" s="121"/>
    </row>
    <row r="145" spans="1:64" ht="30" customHeight="1">
      <c r="A145" s="115"/>
      <c r="B145" s="116"/>
      <c r="C145" s="117"/>
      <c r="D145" s="117"/>
      <c r="E145" s="118"/>
      <c r="F145" s="119"/>
      <c r="G145" s="120"/>
      <c r="H145" s="30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  <c r="BI145" s="121"/>
      <c r="BJ145" s="121"/>
      <c r="BK145" s="121"/>
      <c r="BL145" s="121"/>
    </row>
    <row r="146" spans="1:64" ht="30" customHeight="1">
      <c r="A146" s="115"/>
      <c r="B146" s="116"/>
      <c r="C146" s="117"/>
      <c r="D146" s="117"/>
      <c r="E146" s="118"/>
      <c r="F146" s="119"/>
      <c r="G146" s="120"/>
      <c r="H146" s="30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  <c r="BI146" s="121"/>
      <c r="BJ146" s="121"/>
      <c r="BK146" s="121"/>
      <c r="BL146" s="121"/>
    </row>
    <row r="147" spans="1:64" ht="30" customHeight="1">
      <c r="A147" s="115"/>
      <c r="B147" s="116"/>
      <c r="C147" s="117"/>
      <c r="D147" s="117"/>
      <c r="E147" s="118"/>
      <c r="F147" s="119"/>
      <c r="G147" s="120"/>
      <c r="H147" s="30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/>
      <c r="BF147" s="121"/>
      <c r="BG147" s="121"/>
      <c r="BH147" s="121"/>
      <c r="BI147" s="121"/>
      <c r="BJ147" s="121"/>
      <c r="BK147" s="121"/>
      <c r="BL147" s="121"/>
    </row>
    <row r="148" spans="1:64" ht="30" customHeight="1">
      <c r="A148" s="115"/>
      <c r="B148" s="116"/>
      <c r="C148" s="117"/>
      <c r="D148" s="117"/>
      <c r="E148" s="118"/>
      <c r="F148" s="119"/>
      <c r="G148" s="120"/>
      <c r="H148" s="30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  <c r="BE148" s="121"/>
      <c r="BF148" s="121"/>
      <c r="BG148" s="121"/>
      <c r="BH148" s="121"/>
      <c r="BI148" s="121"/>
      <c r="BJ148" s="121"/>
      <c r="BK148" s="121"/>
      <c r="BL148" s="121"/>
    </row>
    <row r="149" spans="1:64" ht="30" customHeight="1">
      <c r="A149" s="115"/>
      <c r="B149" s="116"/>
      <c r="C149" s="117"/>
      <c r="D149" s="117"/>
      <c r="E149" s="118"/>
      <c r="F149" s="119"/>
      <c r="G149" s="120"/>
      <c r="H149" s="30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21"/>
      <c r="BA149" s="121"/>
      <c r="BB149" s="121"/>
      <c r="BC149" s="121"/>
      <c r="BD149" s="121"/>
      <c r="BE149" s="121"/>
      <c r="BF149" s="121"/>
      <c r="BG149" s="121"/>
      <c r="BH149" s="121"/>
      <c r="BI149" s="121"/>
      <c r="BJ149" s="121"/>
      <c r="BK149" s="121"/>
      <c r="BL149" s="121"/>
    </row>
    <row r="150" spans="1:64" ht="30" customHeight="1">
      <c r="A150" s="115"/>
      <c r="B150" s="116"/>
      <c r="C150" s="117"/>
      <c r="D150" s="117"/>
      <c r="E150" s="118"/>
      <c r="F150" s="119"/>
      <c r="G150" s="120"/>
      <c r="H150" s="30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  <c r="BE150" s="121"/>
      <c r="BF150" s="121"/>
      <c r="BG150" s="121"/>
      <c r="BH150" s="121"/>
      <c r="BI150" s="121"/>
      <c r="BJ150" s="121"/>
      <c r="BK150" s="121"/>
      <c r="BL150" s="121"/>
    </row>
    <row r="151" spans="1:64" ht="30" customHeight="1">
      <c r="A151" s="115"/>
      <c r="B151" s="116"/>
      <c r="C151" s="117"/>
      <c r="D151" s="117"/>
      <c r="E151" s="118"/>
      <c r="F151" s="119"/>
      <c r="G151" s="120"/>
      <c r="H151" s="30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</row>
    <row r="152" spans="1:64" ht="30" customHeight="1">
      <c r="A152" s="115"/>
      <c r="B152" s="116"/>
      <c r="C152" s="117"/>
      <c r="D152" s="117"/>
      <c r="E152" s="118"/>
      <c r="F152" s="119"/>
      <c r="G152" s="120"/>
      <c r="H152" s="30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  <c r="BI152" s="121"/>
      <c r="BJ152" s="121"/>
      <c r="BK152" s="121"/>
      <c r="BL152" s="121"/>
    </row>
    <row r="153" spans="1:64" ht="30" customHeight="1">
      <c r="A153" s="115"/>
      <c r="B153" s="116"/>
      <c r="C153" s="117"/>
      <c r="D153" s="117"/>
      <c r="E153" s="118"/>
      <c r="F153" s="119"/>
      <c r="G153" s="120"/>
      <c r="H153" s="30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/>
      <c r="BD153" s="121"/>
      <c r="BE153" s="121"/>
      <c r="BF153" s="121"/>
      <c r="BG153" s="121"/>
      <c r="BH153" s="121"/>
      <c r="BI153" s="121"/>
      <c r="BJ153" s="121"/>
      <c r="BK153" s="121"/>
      <c r="BL153" s="121"/>
    </row>
    <row r="154" spans="1:64" ht="30" customHeight="1">
      <c r="A154" s="115"/>
      <c r="B154" s="116"/>
      <c r="C154" s="117"/>
      <c r="D154" s="117"/>
      <c r="E154" s="118"/>
      <c r="F154" s="119"/>
      <c r="G154" s="120"/>
      <c r="H154" s="30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  <c r="BE154" s="121"/>
      <c r="BF154" s="121"/>
      <c r="BG154" s="121"/>
      <c r="BH154" s="121"/>
      <c r="BI154" s="121"/>
      <c r="BJ154" s="121"/>
      <c r="BK154" s="121"/>
      <c r="BL154" s="121"/>
    </row>
    <row r="155" spans="1:64" ht="30" customHeight="1">
      <c r="A155" s="115"/>
      <c r="B155" s="116"/>
      <c r="C155" s="117"/>
      <c r="D155" s="117"/>
      <c r="E155" s="118"/>
      <c r="F155" s="119"/>
      <c r="G155" s="120"/>
      <c r="H155" s="30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  <c r="BG155" s="121"/>
      <c r="BH155" s="121"/>
      <c r="BI155" s="121"/>
      <c r="BJ155" s="121"/>
      <c r="BK155" s="121"/>
      <c r="BL155" s="121"/>
    </row>
    <row r="156" spans="1:64" ht="30" customHeight="1">
      <c r="A156" s="115"/>
      <c r="B156" s="116"/>
      <c r="C156" s="117"/>
      <c r="D156" s="117"/>
      <c r="E156" s="118"/>
      <c r="F156" s="119"/>
      <c r="G156" s="120"/>
      <c r="H156" s="30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  <c r="BE156" s="121"/>
      <c r="BF156" s="121"/>
      <c r="BG156" s="121"/>
      <c r="BH156" s="121"/>
      <c r="BI156" s="121"/>
      <c r="BJ156" s="121"/>
      <c r="BK156" s="121"/>
      <c r="BL156" s="121"/>
    </row>
    <row r="157" spans="1:64" ht="30" customHeight="1">
      <c r="A157" s="115"/>
      <c r="B157" s="116"/>
      <c r="C157" s="117"/>
      <c r="D157" s="117"/>
      <c r="E157" s="118"/>
      <c r="F157" s="119"/>
      <c r="G157" s="120"/>
      <c r="H157" s="30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  <c r="BF157" s="121"/>
      <c r="BG157" s="121"/>
      <c r="BH157" s="121"/>
      <c r="BI157" s="121"/>
      <c r="BJ157" s="121"/>
      <c r="BK157" s="121"/>
      <c r="BL157" s="121"/>
    </row>
    <row r="158" spans="1:64" ht="30" customHeight="1">
      <c r="A158" s="115"/>
      <c r="B158" s="116"/>
      <c r="C158" s="117"/>
      <c r="D158" s="117"/>
      <c r="E158" s="118"/>
      <c r="F158" s="119"/>
      <c r="G158" s="120"/>
      <c r="H158" s="30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121"/>
      <c r="BJ158" s="121"/>
      <c r="BK158" s="121"/>
      <c r="BL158" s="121"/>
    </row>
    <row r="159" spans="1:64" ht="30" customHeight="1">
      <c r="A159" s="115"/>
      <c r="B159" s="116"/>
      <c r="C159" s="117"/>
      <c r="D159" s="117"/>
      <c r="E159" s="118"/>
      <c r="F159" s="119"/>
      <c r="G159" s="120"/>
      <c r="H159" s="30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21"/>
      <c r="BJ159" s="121"/>
      <c r="BK159" s="121"/>
      <c r="BL159" s="121"/>
    </row>
    <row r="160" spans="1:64" ht="30" customHeight="1">
      <c r="A160" s="115"/>
      <c r="B160" s="116"/>
      <c r="C160" s="117"/>
      <c r="D160" s="117"/>
      <c r="E160" s="118"/>
      <c r="F160" s="119"/>
      <c r="G160" s="120"/>
      <c r="H160" s="30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/>
      <c r="BD160" s="121"/>
      <c r="BE160" s="121"/>
      <c r="BF160" s="121"/>
      <c r="BG160" s="121"/>
      <c r="BH160" s="121"/>
      <c r="BI160" s="121"/>
      <c r="BJ160" s="121"/>
      <c r="BK160" s="121"/>
      <c r="BL160" s="121"/>
    </row>
    <row r="161" spans="1:64" ht="30" customHeight="1">
      <c r="A161" s="115"/>
      <c r="B161" s="116"/>
      <c r="C161" s="117"/>
      <c r="D161" s="117"/>
      <c r="E161" s="118"/>
      <c r="F161" s="119"/>
      <c r="G161" s="120"/>
      <c r="H161" s="30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21"/>
      <c r="BA161" s="121"/>
      <c r="BB161" s="121"/>
      <c r="BC161" s="121"/>
      <c r="BD161" s="121"/>
      <c r="BE161" s="121"/>
      <c r="BF161" s="121"/>
      <c r="BG161" s="121"/>
      <c r="BH161" s="121"/>
      <c r="BI161" s="121"/>
      <c r="BJ161" s="121"/>
      <c r="BK161" s="121"/>
      <c r="BL161" s="121"/>
    </row>
    <row r="162" spans="1:64" ht="30" customHeight="1">
      <c r="A162" s="115"/>
      <c r="B162" s="116"/>
      <c r="C162" s="117"/>
      <c r="D162" s="117"/>
      <c r="E162" s="118"/>
      <c r="F162" s="119"/>
      <c r="G162" s="120"/>
      <c r="H162" s="30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</row>
    <row r="163" spans="1:64" ht="30" customHeight="1">
      <c r="A163" s="115"/>
      <c r="B163" s="116"/>
      <c r="C163" s="117"/>
      <c r="D163" s="117"/>
      <c r="E163" s="118"/>
      <c r="F163" s="119"/>
      <c r="G163" s="120"/>
      <c r="H163" s="30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</row>
    <row r="164" spans="1:64" ht="30" customHeight="1">
      <c r="A164" s="115"/>
      <c r="B164" s="116"/>
      <c r="C164" s="117"/>
      <c r="D164" s="117"/>
      <c r="E164" s="118"/>
      <c r="F164" s="119"/>
      <c r="G164" s="120"/>
      <c r="H164" s="30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</row>
    <row r="165" spans="1:64" ht="30" customHeight="1">
      <c r="A165" s="115"/>
      <c r="B165" s="116"/>
      <c r="C165" s="117"/>
      <c r="D165" s="117"/>
      <c r="E165" s="118"/>
      <c r="F165" s="119"/>
      <c r="G165" s="120"/>
      <c r="H165" s="30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</row>
    <row r="166" spans="1:64" ht="30" customHeight="1">
      <c r="A166" s="115"/>
      <c r="B166" s="116"/>
      <c r="C166" s="117"/>
      <c r="D166" s="117"/>
      <c r="E166" s="118"/>
      <c r="F166" s="119"/>
      <c r="G166" s="120"/>
      <c r="H166" s="30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</row>
    <row r="167" spans="1:64" ht="30" customHeight="1">
      <c r="A167" s="115"/>
      <c r="B167" s="116"/>
      <c r="C167" s="117"/>
      <c r="D167" s="117"/>
      <c r="E167" s="118"/>
      <c r="F167" s="119"/>
      <c r="G167" s="120"/>
      <c r="H167" s="30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</row>
    <row r="168" spans="1:64" ht="30" customHeight="1">
      <c r="A168" s="115"/>
      <c r="B168" s="116"/>
      <c r="C168" s="117"/>
      <c r="D168" s="117"/>
      <c r="E168" s="118"/>
      <c r="F168" s="119"/>
      <c r="G168" s="120"/>
      <c r="H168" s="30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</row>
    <row r="169" spans="1:64" ht="30" customHeight="1">
      <c r="A169" s="115"/>
      <c r="B169" s="116"/>
      <c r="C169" s="117"/>
      <c r="D169" s="117"/>
      <c r="E169" s="118"/>
      <c r="F169" s="119"/>
      <c r="G169" s="120"/>
      <c r="H169" s="30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</row>
    <row r="170" spans="1:64" ht="30" customHeight="1">
      <c r="A170" s="115"/>
      <c r="B170" s="116"/>
      <c r="C170" s="117"/>
      <c r="D170" s="117"/>
      <c r="E170" s="118"/>
      <c r="F170" s="119"/>
      <c r="G170" s="120"/>
      <c r="H170" s="30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</row>
    <row r="171" spans="1:64" ht="30" customHeight="1">
      <c r="A171" s="115"/>
      <c r="B171" s="116"/>
      <c r="C171" s="117"/>
      <c r="D171" s="117"/>
      <c r="E171" s="118"/>
      <c r="F171" s="119"/>
      <c r="G171" s="120"/>
      <c r="H171" s="30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</row>
    <row r="172" spans="1:64" ht="30" customHeight="1">
      <c r="A172" s="115"/>
      <c r="B172" s="116"/>
      <c r="C172" s="117"/>
      <c r="D172" s="117"/>
      <c r="E172" s="118"/>
      <c r="F172" s="119"/>
      <c r="G172" s="120"/>
      <c r="H172" s="30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  <c r="AQ172" s="121"/>
      <c r="AR172" s="121"/>
      <c r="AS172" s="121"/>
      <c r="AT172" s="121"/>
      <c r="AU172" s="121"/>
      <c r="AV172" s="121"/>
      <c r="AW172" s="121"/>
      <c r="AX172" s="121"/>
      <c r="AY172" s="121"/>
      <c r="AZ172" s="121"/>
      <c r="BA172" s="121"/>
      <c r="BB172" s="121"/>
      <c r="BC172" s="121"/>
      <c r="BD172" s="121"/>
      <c r="BE172" s="121"/>
      <c r="BF172" s="121"/>
      <c r="BG172" s="121"/>
      <c r="BH172" s="121"/>
      <c r="BI172" s="121"/>
      <c r="BJ172" s="121"/>
      <c r="BK172" s="121"/>
      <c r="BL172" s="121"/>
    </row>
    <row r="173" spans="1:64" ht="30" customHeight="1">
      <c r="A173" s="115"/>
      <c r="B173" s="116"/>
      <c r="C173" s="117"/>
      <c r="D173" s="117"/>
      <c r="E173" s="118"/>
      <c r="F173" s="119"/>
      <c r="G173" s="120"/>
      <c r="H173" s="30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  <c r="AP173" s="121"/>
      <c r="AQ173" s="121"/>
      <c r="AR173" s="121"/>
      <c r="AS173" s="121"/>
      <c r="AT173" s="121"/>
      <c r="AU173" s="121"/>
      <c r="AV173" s="121"/>
      <c r="AW173" s="121"/>
      <c r="AX173" s="121"/>
      <c r="AY173" s="121"/>
      <c r="AZ173" s="121"/>
      <c r="BA173" s="121"/>
      <c r="BB173" s="121"/>
      <c r="BC173" s="121"/>
      <c r="BD173" s="121"/>
      <c r="BE173" s="121"/>
      <c r="BF173" s="121"/>
      <c r="BG173" s="121"/>
      <c r="BH173" s="121"/>
      <c r="BI173" s="121"/>
      <c r="BJ173" s="121"/>
      <c r="BK173" s="121"/>
      <c r="BL173" s="121"/>
    </row>
    <row r="174" spans="1:64" ht="30" customHeight="1">
      <c r="A174" s="115"/>
      <c r="B174" s="116"/>
      <c r="C174" s="117"/>
      <c r="D174" s="117"/>
      <c r="E174" s="118"/>
      <c r="F174" s="119"/>
      <c r="G174" s="120"/>
      <c r="H174" s="30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  <c r="AQ174" s="121"/>
      <c r="AR174" s="121"/>
      <c r="AS174" s="121"/>
      <c r="AT174" s="121"/>
      <c r="AU174" s="121"/>
      <c r="AV174" s="121"/>
      <c r="AW174" s="121"/>
      <c r="AX174" s="121"/>
      <c r="AY174" s="121"/>
      <c r="AZ174" s="121"/>
      <c r="BA174" s="121"/>
      <c r="BB174" s="121"/>
      <c r="BC174" s="121"/>
      <c r="BD174" s="121"/>
      <c r="BE174" s="121"/>
      <c r="BF174" s="121"/>
      <c r="BG174" s="121"/>
      <c r="BH174" s="121"/>
      <c r="BI174" s="121"/>
      <c r="BJ174" s="121"/>
      <c r="BK174" s="121"/>
      <c r="BL174" s="121"/>
    </row>
    <row r="175" spans="1:64" ht="30" customHeight="1">
      <c r="A175" s="115"/>
      <c r="B175" s="116"/>
      <c r="C175" s="117"/>
      <c r="D175" s="117"/>
      <c r="E175" s="118"/>
      <c r="F175" s="119"/>
      <c r="G175" s="120"/>
      <c r="H175" s="30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  <c r="AQ175" s="121"/>
      <c r="AR175" s="121"/>
      <c r="AS175" s="121"/>
      <c r="AT175" s="121"/>
      <c r="AU175" s="121"/>
      <c r="AV175" s="121"/>
      <c r="AW175" s="121"/>
      <c r="AX175" s="121"/>
      <c r="AY175" s="121"/>
      <c r="AZ175" s="121"/>
      <c r="BA175" s="121"/>
      <c r="BB175" s="121"/>
      <c r="BC175" s="121"/>
      <c r="BD175" s="121"/>
      <c r="BE175" s="121"/>
      <c r="BF175" s="121"/>
      <c r="BG175" s="121"/>
      <c r="BH175" s="121"/>
      <c r="BI175" s="121"/>
      <c r="BJ175" s="121"/>
      <c r="BK175" s="121"/>
      <c r="BL175" s="121"/>
    </row>
    <row r="176" spans="1:64" ht="30" customHeight="1">
      <c r="A176" s="115"/>
      <c r="B176" s="116"/>
      <c r="C176" s="117"/>
      <c r="D176" s="117"/>
      <c r="E176" s="118"/>
      <c r="F176" s="119"/>
      <c r="G176" s="120"/>
      <c r="H176" s="30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21"/>
      <c r="AQ176" s="121"/>
      <c r="AR176" s="121"/>
      <c r="AS176" s="121"/>
      <c r="AT176" s="121"/>
      <c r="AU176" s="121"/>
      <c r="AV176" s="121"/>
      <c r="AW176" s="121"/>
      <c r="AX176" s="121"/>
      <c r="AY176" s="121"/>
      <c r="AZ176" s="121"/>
      <c r="BA176" s="121"/>
      <c r="BB176" s="121"/>
      <c r="BC176" s="121"/>
      <c r="BD176" s="121"/>
      <c r="BE176" s="121"/>
      <c r="BF176" s="121"/>
      <c r="BG176" s="121"/>
      <c r="BH176" s="121"/>
      <c r="BI176" s="121"/>
      <c r="BJ176" s="121"/>
      <c r="BK176" s="121"/>
      <c r="BL176" s="121"/>
    </row>
    <row r="177" spans="1:64" ht="30" customHeight="1">
      <c r="A177" s="115"/>
      <c r="B177" s="116"/>
      <c r="C177" s="117"/>
      <c r="D177" s="117"/>
      <c r="E177" s="118"/>
      <c r="F177" s="119"/>
      <c r="G177" s="120"/>
      <c r="H177" s="30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21"/>
      <c r="AQ177" s="121"/>
      <c r="AR177" s="121"/>
      <c r="AS177" s="121"/>
      <c r="AT177" s="121"/>
      <c r="AU177" s="121"/>
      <c r="AV177" s="121"/>
      <c r="AW177" s="121"/>
      <c r="AX177" s="121"/>
      <c r="AY177" s="121"/>
      <c r="AZ177" s="121"/>
      <c r="BA177" s="121"/>
      <c r="BB177" s="121"/>
      <c r="BC177" s="121"/>
      <c r="BD177" s="121"/>
      <c r="BE177" s="121"/>
      <c r="BF177" s="121"/>
      <c r="BG177" s="121"/>
      <c r="BH177" s="121"/>
      <c r="BI177" s="121"/>
      <c r="BJ177" s="121"/>
      <c r="BK177" s="121"/>
      <c r="BL177" s="121"/>
    </row>
    <row r="178" spans="1:64" ht="30" customHeight="1">
      <c r="A178" s="115"/>
      <c r="B178" s="116"/>
      <c r="C178" s="117"/>
      <c r="D178" s="117"/>
      <c r="E178" s="118"/>
      <c r="F178" s="119"/>
      <c r="G178" s="120"/>
      <c r="H178" s="30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  <c r="AP178" s="121"/>
      <c r="AQ178" s="121"/>
      <c r="AR178" s="121"/>
      <c r="AS178" s="121"/>
      <c r="AT178" s="121"/>
      <c r="AU178" s="121"/>
      <c r="AV178" s="121"/>
      <c r="AW178" s="121"/>
      <c r="AX178" s="121"/>
      <c r="AY178" s="121"/>
      <c r="AZ178" s="121"/>
      <c r="BA178" s="121"/>
      <c r="BB178" s="121"/>
      <c r="BC178" s="121"/>
      <c r="BD178" s="121"/>
      <c r="BE178" s="121"/>
      <c r="BF178" s="121"/>
      <c r="BG178" s="121"/>
      <c r="BH178" s="121"/>
      <c r="BI178" s="121"/>
      <c r="BJ178" s="121"/>
      <c r="BK178" s="121"/>
      <c r="BL178" s="121"/>
    </row>
    <row r="179" spans="1:64" ht="30" customHeight="1">
      <c r="A179" s="115"/>
      <c r="B179" s="116"/>
      <c r="C179" s="117"/>
      <c r="D179" s="117"/>
      <c r="E179" s="118"/>
      <c r="F179" s="119"/>
      <c r="G179" s="120"/>
      <c r="H179" s="30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  <c r="AQ179" s="121"/>
      <c r="AR179" s="121"/>
      <c r="AS179" s="121"/>
      <c r="AT179" s="121"/>
      <c r="AU179" s="121"/>
      <c r="AV179" s="121"/>
      <c r="AW179" s="121"/>
      <c r="AX179" s="121"/>
      <c r="AY179" s="121"/>
      <c r="AZ179" s="121"/>
      <c r="BA179" s="121"/>
      <c r="BB179" s="121"/>
      <c r="BC179" s="121"/>
      <c r="BD179" s="121"/>
      <c r="BE179" s="121"/>
      <c r="BF179" s="121"/>
      <c r="BG179" s="121"/>
      <c r="BH179" s="121"/>
      <c r="BI179" s="121"/>
      <c r="BJ179" s="121"/>
      <c r="BK179" s="121"/>
      <c r="BL179" s="121"/>
    </row>
    <row r="180" spans="1:64" ht="30" customHeight="1">
      <c r="A180" s="115"/>
      <c r="B180" s="116"/>
      <c r="C180" s="117"/>
      <c r="D180" s="117"/>
      <c r="E180" s="118"/>
      <c r="F180" s="119"/>
      <c r="G180" s="120"/>
      <c r="H180" s="30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/>
      <c r="BD180" s="121"/>
      <c r="BE180" s="121"/>
      <c r="BF180" s="121"/>
      <c r="BG180" s="121"/>
      <c r="BH180" s="121"/>
      <c r="BI180" s="121"/>
      <c r="BJ180" s="121"/>
      <c r="BK180" s="121"/>
      <c r="BL180" s="121"/>
    </row>
    <row r="181" spans="1:64" ht="30" customHeight="1">
      <c r="A181" s="115"/>
      <c r="B181" s="116"/>
      <c r="C181" s="117"/>
      <c r="D181" s="117"/>
      <c r="E181" s="118"/>
      <c r="F181" s="119"/>
      <c r="G181" s="120"/>
      <c r="H181" s="30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  <c r="AQ181" s="121"/>
      <c r="AR181" s="121"/>
      <c r="AS181" s="121"/>
      <c r="AT181" s="121"/>
      <c r="AU181" s="121"/>
      <c r="AV181" s="121"/>
      <c r="AW181" s="121"/>
      <c r="AX181" s="121"/>
      <c r="AY181" s="121"/>
      <c r="AZ181" s="121"/>
      <c r="BA181" s="121"/>
      <c r="BB181" s="121"/>
      <c r="BC181" s="121"/>
      <c r="BD181" s="121"/>
      <c r="BE181" s="121"/>
      <c r="BF181" s="121"/>
      <c r="BG181" s="121"/>
      <c r="BH181" s="121"/>
      <c r="BI181" s="121"/>
      <c r="BJ181" s="121"/>
      <c r="BK181" s="121"/>
      <c r="BL181" s="121"/>
    </row>
    <row r="182" spans="1:64" ht="30" customHeight="1">
      <c r="A182" s="115"/>
      <c r="B182" s="116"/>
      <c r="C182" s="117"/>
      <c r="D182" s="117"/>
      <c r="E182" s="118"/>
      <c r="F182" s="119"/>
      <c r="G182" s="120"/>
      <c r="H182" s="30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1"/>
      <c r="AQ182" s="121"/>
      <c r="AR182" s="121"/>
      <c r="AS182" s="121"/>
      <c r="AT182" s="121"/>
      <c r="AU182" s="121"/>
      <c r="AV182" s="121"/>
      <c r="AW182" s="121"/>
      <c r="AX182" s="121"/>
      <c r="AY182" s="121"/>
      <c r="AZ182" s="121"/>
      <c r="BA182" s="121"/>
      <c r="BB182" s="121"/>
      <c r="BC182" s="121"/>
      <c r="BD182" s="121"/>
      <c r="BE182" s="121"/>
      <c r="BF182" s="121"/>
      <c r="BG182" s="121"/>
      <c r="BH182" s="121"/>
      <c r="BI182" s="121"/>
      <c r="BJ182" s="121"/>
      <c r="BK182" s="121"/>
      <c r="BL182" s="121"/>
    </row>
    <row r="183" spans="1:64" ht="30" customHeight="1">
      <c r="A183" s="115"/>
      <c r="B183" s="116"/>
      <c r="C183" s="117"/>
      <c r="D183" s="117"/>
      <c r="E183" s="118"/>
      <c r="F183" s="119"/>
      <c r="G183" s="120"/>
      <c r="H183" s="30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  <c r="AP183" s="121"/>
      <c r="AQ183" s="121"/>
      <c r="AR183" s="121"/>
      <c r="AS183" s="121"/>
      <c r="AT183" s="121"/>
      <c r="AU183" s="121"/>
      <c r="AV183" s="121"/>
      <c r="AW183" s="121"/>
      <c r="AX183" s="121"/>
      <c r="AY183" s="121"/>
      <c r="AZ183" s="121"/>
      <c r="BA183" s="121"/>
      <c r="BB183" s="121"/>
      <c r="BC183" s="121"/>
      <c r="BD183" s="121"/>
      <c r="BE183" s="121"/>
      <c r="BF183" s="121"/>
      <c r="BG183" s="121"/>
      <c r="BH183" s="121"/>
      <c r="BI183" s="121"/>
      <c r="BJ183" s="121"/>
      <c r="BK183" s="121"/>
      <c r="BL183" s="121"/>
    </row>
    <row r="184" spans="1:64" ht="30" customHeight="1">
      <c r="A184" s="115"/>
      <c r="B184" s="116"/>
      <c r="C184" s="117"/>
      <c r="D184" s="117"/>
      <c r="E184" s="118"/>
      <c r="F184" s="119"/>
      <c r="G184" s="120"/>
      <c r="H184" s="30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  <c r="AQ184" s="121"/>
      <c r="AR184" s="121"/>
      <c r="AS184" s="121"/>
      <c r="AT184" s="121"/>
      <c r="AU184" s="121"/>
      <c r="AV184" s="121"/>
      <c r="AW184" s="121"/>
      <c r="AX184" s="121"/>
      <c r="AY184" s="121"/>
      <c r="AZ184" s="121"/>
      <c r="BA184" s="121"/>
      <c r="BB184" s="121"/>
      <c r="BC184" s="121"/>
      <c r="BD184" s="121"/>
      <c r="BE184" s="121"/>
      <c r="BF184" s="121"/>
      <c r="BG184" s="121"/>
      <c r="BH184" s="121"/>
      <c r="BI184" s="121"/>
      <c r="BJ184" s="121"/>
      <c r="BK184" s="121"/>
      <c r="BL184" s="121"/>
    </row>
    <row r="185" spans="1:64" ht="30" customHeight="1">
      <c r="A185" s="115"/>
      <c r="B185" s="116"/>
      <c r="C185" s="117"/>
      <c r="D185" s="117"/>
      <c r="E185" s="118"/>
      <c r="F185" s="119"/>
      <c r="G185" s="120"/>
      <c r="H185" s="30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  <c r="AP185" s="121"/>
      <c r="AQ185" s="121"/>
      <c r="AR185" s="121"/>
      <c r="AS185" s="121"/>
      <c r="AT185" s="121"/>
      <c r="AU185" s="121"/>
      <c r="AV185" s="121"/>
      <c r="AW185" s="121"/>
      <c r="AX185" s="121"/>
      <c r="AY185" s="121"/>
      <c r="AZ185" s="121"/>
      <c r="BA185" s="121"/>
      <c r="BB185" s="121"/>
      <c r="BC185" s="121"/>
      <c r="BD185" s="121"/>
      <c r="BE185" s="121"/>
      <c r="BF185" s="121"/>
      <c r="BG185" s="121"/>
      <c r="BH185" s="121"/>
      <c r="BI185" s="121"/>
      <c r="BJ185" s="121"/>
      <c r="BK185" s="121"/>
      <c r="BL185" s="121"/>
    </row>
    <row r="186" spans="1:64" ht="30" customHeight="1">
      <c r="A186" s="115"/>
      <c r="B186" s="116"/>
      <c r="C186" s="117"/>
      <c r="D186" s="117"/>
      <c r="E186" s="118"/>
      <c r="F186" s="119"/>
      <c r="G186" s="120"/>
      <c r="H186" s="30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1"/>
      <c r="AQ186" s="121"/>
      <c r="AR186" s="121"/>
      <c r="AS186" s="121"/>
      <c r="AT186" s="121"/>
      <c r="AU186" s="121"/>
      <c r="AV186" s="121"/>
      <c r="AW186" s="121"/>
      <c r="AX186" s="121"/>
      <c r="AY186" s="121"/>
      <c r="AZ186" s="121"/>
      <c r="BA186" s="121"/>
      <c r="BB186" s="121"/>
      <c r="BC186" s="121"/>
      <c r="BD186" s="121"/>
      <c r="BE186" s="121"/>
      <c r="BF186" s="121"/>
      <c r="BG186" s="121"/>
      <c r="BH186" s="121"/>
      <c r="BI186" s="121"/>
      <c r="BJ186" s="121"/>
      <c r="BK186" s="121"/>
      <c r="BL186" s="121"/>
    </row>
    <row r="187" spans="1:64" ht="30" customHeight="1">
      <c r="A187" s="115"/>
      <c r="B187" s="116"/>
      <c r="C187" s="117"/>
      <c r="D187" s="117"/>
      <c r="E187" s="118"/>
      <c r="F187" s="119"/>
      <c r="G187" s="120"/>
      <c r="H187" s="30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  <c r="AP187" s="121"/>
      <c r="AQ187" s="121"/>
      <c r="AR187" s="121"/>
      <c r="AS187" s="121"/>
      <c r="AT187" s="121"/>
      <c r="AU187" s="121"/>
      <c r="AV187" s="121"/>
      <c r="AW187" s="121"/>
      <c r="AX187" s="121"/>
      <c r="AY187" s="121"/>
      <c r="AZ187" s="121"/>
      <c r="BA187" s="121"/>
      <c r="BB187" s="121"/>
      <c r="BC187" s="121"/>
      <c r="BD187" s="121"/>
      <c r="BE187" s="121"/>
      <c r="BF187" s="121"/>
      <c r="BG187" s="121"/>
      <c r="BH187" s="121"/>
      <c r="BI187" s="121"/>
      <c r="BJ187" s="121"/>
      <c r="BK187" s="121"/>
      <c r="BL187" s="121"/>
    </row>
    <row r="188" spans="1:64" ht="30" customHeight="1">
      <c r="A188" s="115"/>
      <c r="B188" s="116"/>
      <c r="C188" s="117"/>
      <c r="D188" s="117"/>
      <c r="E188" s="118"/>
      <c r="F188" s="119"/>
      <c r="G188" s="120"/>
      <c r="H188" s="30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  <c r="AP188" s="121"/>
      <c r="AQ188" s="121"/>
      <c r="AR188" s="121"/>
      <c r="AS188" s="121"/>
      <c r="AT188" s="121"/>
      <c r="AU188" s="121"/>
      <c r="AV188" s="121"/>
      <c r="AW188" s="121"/>
      <c r="AX188" s="121"/>
      <c r="AY188" s="121"/>
      <c r="AZ188" s="121"/>
      <c r="BA188" s="121"/>
      <c r="BB188" s="121"/>
      <c r="BC188" s="121"/>
      <c r="BD188" s="121"/>
      <c r="BE188" s="121"/>
      <c r="BF188" s="121"/>
      <c r="BG188" s="121"/>
      <c r="BH188" s="121"/>
      <c r="BI188" s="121"/>
      <c r="BJ188" s="121"/>
      <c r="BK188" s="121"/>
      <c r="BL188" s="121"/>
    </row>
    <row r="189" spans="1:64" ht="30" customHeight="1">
      <c r="A189" s="115"/>
      <c r="B189" s="116"/>
      <c r="C189" s="117"/>
      <c r="D189" s="117"/>
      <c r="E189" s="118"/>
      <c r="F189" s="119"/>
      <c r="G189" s="120"/>
      <c r="H189" s="30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  <c r="AT189" s="121"/>
      <c r="AU189" s="121"/>
      <c r="AV189" s="121"/>
      <c r="AW189" s="121"/>
      <c r="AX189" s="121"/>
      <c r="AY189" s="121"/>
      <c r="AZ189" s="121"/>
      <c r="BA189" s="121"/>
      <c r="BB189" s="121"/>
      <c r="BC189" s="121"/>
      <c r="BD189" s="121"/>
      <c r="BE189" s="121"/>
      <c r="BF189" s="121"/>
      <c r="BG189" s="121"/>
      <c r="BH189" s="121"/>
      <c r="BI189" s="121"/>
      <c r="BJ189" s="121"/>
      <c r="BK189" s="121"/>
      <c r="BL189" s="121"/>
    </row>
    <row r="190" spans="1:64" ht="30" customHeight="1">
      <c r="A190" s="115"/>
      <c r="B190" s="116"/>
      <c r="C190" s="117"/>
      <c r="D190" s="117"/>
      <c r="E190" s="118"/>
      <c r="F190" s="119"/>
      <c r="G190" s="120"/>
      <c r="H190" s="30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1"/>
      <c r="BA190" s="121"/>
      <c r="BB190" s="121"/>
      <c r="BC190" s="121"/>
      <c r="BD190" s="121"/>
      <c r="BE190" s="121"/>
      <c r="BF190" s="121"/>
      <c r="BG190" s="121"/>
      <c r="BH190" s="121"/>
      <c r="BI190" s="121"/>
      <c r="BJ190" s="121"/>
      <c r="BK190" s="121"/>
      <c r="BL190" s="121"/>
    </row>
    <row r="191" spans="1:64" ht="30" customHeight="1">
      <c r="A191" s="115"/>
      <c r="B191" s="116"/>
      <c r="C191" s="117"/>
      <c r="D191" s="117"/>
      <c r="E191" s="118"/>
      <c r="F191" s="119"/>
      <c r="G191" s="120"/>
      <c r="H191" s="30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  <c r="AQ191" s="121"/>
      <c r="AR191" s="121"/>
      <c r="AS191" s="121"/>
      <c r="AT191" s="121"/>
      <c r="AU191" s="121"/>
      <c r="AV191" s="121"/>
      <c r="AW191" s="121"/>
      <c r="AX191" s="121"/>
      <c r="AY191" s="121"/>
      <c r="AZ191" s="121"/>
      <c r="BA191" s="121"/>
      <c r="BB191" s="121"/>
      <c r="BC191" s="121"/>
      <c r="BD191" s="121"/>
      <c r="BE191" s="121"/>
      <c r="BF191" s="121"/>
      <c r="BG191" s="121"/>
      <c r="BH191" s="121"/>
      <c r="BI191" s="121"/>
      <c r="BJ191" s="121"/>
      <c r="BK191" s="121"/>
      <c r="BL191" s="121"/>
    </row>
    <row r="192" spans="1:64" ht="30" customHeight="1">
      <c r="A192" s="115"/>
      <c r="B192" s="116"/>
      <c r="C192" s="117"/>
      <c r="D192" s="117"/>
      <c r="E192" s="118"/>
      <c r="F192" s="119"/>
      <c r="G192" s="120"/>
      <c r="H192" s="30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  <c r="AQ192" s="121"/>
      <c r="AR192" s="121"/>
      <c r="AS192" s="121"/>
      <c r="AT192" s="121"/>
      <c r="AU192" s="121"/>
      <c r="AV192" s="121"/>
      <c r="AW192" s="121"/>
      <c r="AX192" s="121"/>
      <c r="AY192" s="121"/>
      <c r="AZ192" s="121"/>
      <c r="BA192" s="121"/>
      <c r="BB192" s="121"/>
      <c r="BC192" s="121"/>
      <c r="BD192" s="121"/>
      <c r="BE192" s="121"/>
      <c r="BF192" s="121"/>
      <c r="BG192" s="121"/>
      <c r="BH192" s="121"/>
      <c r="BI192" s="121"/>
      <c r="BJ192" s="121"/>
      <c r="BK192" s="121"/>
      <c r="BL192" s="121"/>
    </row>
    <row r="193" spans="1:64" ht="30" customHeight="1">
      <c r="A193" s="115"/>
      <c r="B193" s="116"/>
      <c r="C193" s="117"/>
      <c r="D193" s="117"/>
      <c r="E193" s="118"/>
      <c r="F193" s="119"/>
      <c r="G193" s="120"/>
      <c r="H193" s="30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  <c r="AT193" s="121"/>
      <c r="AU193" s="121"/>
      <c r="AV193" s="121"/>
      <c r="AW193" s="121"/>
      <c r="AX193" s="121"/>
      <c r="AY193" s="121"/>
      <c r="AZ193" s="121"/>
      <c r="BA193" s="121"/>
      <c r="BB193" s="121"/>
      <c r="BC193" s="121"/>
      <c r="BD193" s="121"/>
      <c r="BE193" s="121"/>
      <c r="BF193" s="121"/>
      <c r="BG193" s="121"/>
      <c r="BH193" s="121"/>
      <c r="BI193" s="121"/>
      <c r="BJ193" s="121"/>
      <c r="BK193" s="121"/>
      <c r="BL193" s="121"/>
    </row>
    <row r="194" spans="1:64" ht="30" customHeight="1">
      <c r="A194" s="115"/>
      <c r="B194" s="116"/>
      <c r="C194" s="117"/>
      <c r="D194" s="117"/>
      <c r="E194" s="118"/>
      <c r="F194" s="119"/>
      <c r="G194" s="120"/>
      <c r="H194" s="30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  <c r="AT194" s="121"/>
      <c r="AU194" s="121"/>
      <c r="AV194" s="121"/>
      <c r="AW194" s="121"/>
      <c r="AX194" s="121"/>
      <c r="AY194" s="121"/>
      <c r="AZ194" s="121"/>
      <c r="BA194" s="121"/>
      <c r="BB194" s="121"/>
      <c r="BC194" s="121"/>
      <c r="BD194" s="121"/>
      <c r="BE194" s="121"/>
      <c r="BF194" s="121"/>
      <c r="BG194" s="121"/>
      <c r="BH194" s="121"/>
      <c r="BI194" s="121"/>
      <c r="BJ194" s="121"/>
      <c r="BK194" s="121"/>
      <c r="BL194" s="121"/>
    </row>
    <row r="195" spans="1:64" ht="30" customHeight="1">
      <c r="A195" s="115"/>
      <c r="B195" s="116"/>
      <c r="C195" s="117"/>
      <c r="D195" s="117"/>
      <c r="E195" s="118"/>
      <c r="F195" s="119"/>
      <c r="G195" s="120"/>
      <c r="H195" s="30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/>
      <c r="BD195" s="121"/>
      <c r="BE195" s="121"/>
      <c r="BF195" s="121"/>
      <c r="BG195" s="121"/>
      <c r="BH195" s="121"/>
      <c r="BI195" s="121"/>
      <c r="BJ195" s="121"/>
      <c r="BK195" s="121"/>
      <c r="BL195" s="121"/>
    </row>
    <row r="196" spans="1:64" ht="30" customHeight="1">
      <c r="A196" s="115"/>
      <c r="B196" s="116"/>
      <c r="C196" s="117"/>
      <c r="D196" s="117"/>
      <c r="E196" s="118"/>
      <c r="F196" s="119"/>
      <c r="G196" s="120"/>
      <c r="H196" s="30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/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121"/>
      <c r="BJ196" s="121"/>
      <c r="BK196" s="121"/>
      <c r="BL196" s="121"/>
    </row>
    <row r="197" spans="1:64" ht="30" customHeight="1">
      <c r="A197" s="115"/>
      <c r="B197" s="116"/>
      <c r="C197" s="117"/>
      <c r="D197" s="117"/>
      <c r="E197" s="118"/>
      <c r="F197" s="119"/>
      <c r="G197" s="120"/>
      <c r="H197" s="30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21"/>
      <c r="BJ197" s="121"/>
      <c r="BK197" s="121"/>
      <c r="BL197" s="121"/>
    </row>
    <row r="198" spans="1:64" ht="30" customHeight="1">
      <c r="A198" s="115"/>
      <c r="B198" s="116"/>
      <c r="C198" s="117"/>
      <c r="D198" s="117"/>
      <c r="E198" s="118"/>
      <c r="F198" s="119"/>
      <c r="G198" s="120"/>
      <c r="H198" s="30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  <c r="AP198" s="121"/>
      <c r="AQ198" s="121"/>
      <c r="AR198" s="121"/>
      <c r="AS198" s="121"/>
      <c r="AT198" s="121"/>
      <c r="AU198" s="121"/>
      <c r="AV198" s="121"/>
      <c r="AW198" s="121"/>
      <c r="AX198" s="121"/>
      <c r="AY198" s="121"/>
      <c r="AZ198" s="121"/>
      <c r="BA198" s="121"/>
      <c r="BB198" s="121"/>
      <c r="BC198" s="121"/>
      <c r="BD198" s="121"/>
      <c r="BE198" s="121"/>
      <c r="BF198" s="121"/>
      <c r="BG198" s="121"/>
      <c r="BH198" s="121"/>
      <c r="BI198" s="121"/>
      <c r="BJ198" s="121"/>
      <c r="BK198" s="121"/>
      <c r="BL198" s="121"/>
    </row>
    <row r="199" spans="1:64" ht="30" customHeight="1">
      <c r="A199" s="115"/>
      <c r="B199" s="116"/>
      <c r="C199" s="117"/>
      <c r="D199" s="117"/>
      <c r="E199" s="118"/>
      <c r="F199" s="119"/>
      <c r="G199" s="120"/>
      <c r="H199" s="30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  <c r="AP199" s="121"/>
      <c r="AQ199" s="121"/>
      <c r="AR199" s="121"/>
      <c r="AS199" s="121"/>
      <c r="AT199" s="121"/>
      <c r="AU199" s="121"/>
      <c r="AV199" s="121"/>
      <c r="AW199" s="121"/>
      <c r="AX199" s="121"/>
      <c r="AY199" s="121"/>
      <c r="AZ199" s="121"/>
      <c r="BA199" s="121"/>
      <c r="BB199" s="121"/>
      <c r="BC199" s="121"/>
      <c r="BD199" s="121"/>
      <c r="BE199" s="121"/>
      <c r="BF199" s="121"/>
      <c r="BG199" s="121"/>
      <c r="BH199" s="121"/>
      <c r="BI199" s="121"/>
      <c r="BJ199" s="121"/>
      <c r="BK199" s="121"/>
      <c r="BL199" s="121"/>
    </row>
    <row r="200" spans="1:64" ht="30" customHeight="1">
      <c r="A200" s="115"/>
      <c r="B200" s="116"/>
      <c r="C200" s="117"/>
      <c r="D200" s="117"/>
      <c r="E200" s="118"/>
      <c r="F200" s="119"/>
      <c r="G200" s="120"/>
      <c r="H200" s="30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</row>
    <row r="201" spans="1:64" ht="30" customHeight="1">
      <c r="A201" s="115"/>
      <c r="B201" s="116"/>
      <c r="C201" s="117"/>
      <c r="D201" s="117"/>
      <c r="E201" s="118"/>
      <c r="F201" s="119"/>
      <c r="G201" s="120"/>
      <c r="H201" s="30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</row>
    <row r="202" spans="1:64" ht="30" customHeight="1">
      <c r="A202" s="115"/>
      <c r="B202" s="116"/>
      <c r="C202" s="117"/>
      <c r="D202" s="117"/>
      <c r="E202" s="118"/>
      <c r="F202" s="119"/>
      <c r="G202" s="120"/>
      <c r="H202" s="30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</row>
    <row r="203" spans="1:64" ht="30" customHeight="1">
      <c r="A203" s="115"/>
      <c r="B203" s="116"/>
      <c r="C203" s="117"/>
      <c r="D203" s="117"/>
      <c r="E203" s="118"/>
      <c r="F203" s="119"/>
      <c r="G203" s="120"/>
      <c r="H203" s="30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</row>
    <row r="204" spans="1:64" ht="30" customHeight="1">
      <c r="A204" s="115"/>
      <c r="B204" s="116"/>
      <c r="C204" s="117"/>
      <c r="D204" s="117"/>
      <c r="E204" s="118"/>
      <c r="F204" s="119"/>
      <c r="G204" s="120"/>
      <c r="H204" s="30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</row>
    <row r="205" spans="1:64" ht="30" customHeight="1">
      <c r="A205" s="115"/>
      <c r="B205" s="116"/>
      <c r="C205" s="117"/>
      <c r="D205" s="117"/>
      <c r="E205" s="118"/>
      <c r="F205" s="119"/>
      <c r="G205" s="120"/>
      <c r="H205" s="30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</row>
    <row r="206" spans="1:64" ht="30" customHeight="1">
      <c r="A206" s="115"/>
      <c r="B206" s="116"/>
      <c r="C206" s="117"/>
      <c r="D206" s="117"/>
      <c r="E206" s="118"/>
      <c r="F206" s="119"/>
      <c r="G206" s="120"/>
      <c r="H206" s="30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</row>
    <row r="207" spans="1:64" ht="30" customHeight="1">
      <c r="A207" s="115"/>
      <c r="B207" s="116"/>
      <c r="C207" s="117"/>
      <c r="D207" s="117"/>
      <c r="E207" s="118"/>
      <c r="F207" s="119"/>
      <c r="G207" s="120"/>
      <c r="H207" s="30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</row>
    <row r="208" spans="1:64" ht="30" customHeight="1">
      <c r="A208" s="115"/>
      <c r="B208" s="116"/>
      <c r="C208" s="117"/>
      <c r="D208" s="117"/>
      <c r="E208" s="118"/>
      <c r="F208" s="119"/>
      <c r="G208" s="120"/>
      <c r="H208" s="30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</row>
    <row r="209" spans="1:64" ht="30" customHeight="1">
      <c r="A209" s="115"/>
      <c r="B209" s="116"/>
      <c r="C209" s="117"/>
      <c r="D209" s="117"/>
      <c r="E209" s="118"/>
      <c r="F209" s="119"/>
      <c r="G209" s="120"/>
      <c r="H209" s="30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</row>
    <row r="210" spans="1:64" ht="30" customHeight="1">
      <c r="A210" s="115"/>
      <c r="B210" s="116"/>
      <c r="C210" s="117"/>
      <c r="D210" s="117"/>
      <c r="E210" s="118"/>
      <c r="F210" s="119"/>
      <c r="G210" s="120"/>
      <c r="H210" s="30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21"/>
      <c r="AX210" s="121"/>
      <c r="AY210" s="121"/>
      <c r="AZ210" s="121"/>
      <c r="BA210" s="121"/>
      <c r="BB210" s="121"/>
      <c r="BC210" s="121"/>
      <c r="BD210" s="121"/>
      <c r="BE210" s="121"/>
      <c r="BF210" s="121"/>
      <c r="BG210" s="121"/>
      <c r="BH210" s="121"/>
      <c r="BI210" s="121"/>
      <c r="BJ210" s="121"/>
      <c r="BK210" s="121"/>
      <c r="BL210" s="121"/>
    </row>
    <row r="211" spans="1:64" ht="30" customHeight="1">
      <c r="A211" s="115"/>
      <c r="B211" s="116"/>
      <c r="C211" s="117"/>
      <c r="D211" s="117"/>
      <c r="E211" s="118"/>
      <c r="F211" s="119"/>
      <c r="G211" s="120"/>
      <c r="H211" s="30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  <c r="BF211" s="121"/>
      <c r="BG211" s="121"/>
      <c r="BH211" s="121"/>
      <c r="BI211" s="121"/>
      <c r="BJ211" s="121"/>
      <c r="BK211" s="121"/>
      <c r="BL211" s="121"/>
    </row>
    <row r="212" spans="1:64" ht="30" customHeight="1">
      <c r="A212" s="115"/>
      <c r="B212" s="116"/>
      <c r="C212" s="117"/>
      <c r="D212" s="117"/>
      <c r="E212" s="118"/>
      <c r="F212" s="119"/>
      <c r="G212" s="120"/>
      <c r="H212" s="30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121"/>
      <c r="BB212" s="121"/>
      <c r="BC212" s="121"/>
      <c r="BD212" s="121"/>
      <c r="BE212" s="121"/>
      <c r="BF212" s="121"/>
      <c r="BG212" s="121"/>
      <c r="BH212" s="121"/>
      <c r="BI212" s="121"/>
      <c r="BJ212" s="121"/>
      <c r="BK212" s="121"/>
      <c r="BL212" s="121"/>
    </row>
    <row r="213" spans="1:64" ht="30" customHeight="1">
      <c r="A213" s="115"/>
      <c r="B213" s="116"/>
      <c r="C213" s="117"/>
      <c r="D213" s="117"/>
      <c r="E213" s="118"/>
      <c r="F213" s="119"/>
      <c r="G213" s="120"/>
      <c r="H213" s="30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  <c r="AQ213" s="121"/>
      <c r="AR213" s="121"/>
      <c r="AS213" s="121"/>
      <c r="AT213" s="121"/>
      <c r="AU213" s="121"/>
      <c r="AV213" s="121"/>
      <c r="AW213" s="121"/>
      <c r="AX213" s="121"/>
      <c r="AY213" s="121"/>
      <c r="AZ213" s="121"/>
      <c r="BA213" s="121"/>
      <c r="BB213" s="121"/>
      <c r="BC213" s="121"/>
      <c r="BD213" s="121"/>
      <c r="BE213" s="121"/>
      <c r="BF213" s="121"/>
      <c r="BG213" s="121"/>
      <c r="BH213" s="121"/>
      <c r="BI213" s="121"/>
      <c r="BJ213" s="121"/>
      <c r="BK213" s="121"/>
      <c r="BL213" s="121"/>
    </row>
    <row r="214" spans="1:64" ht="30" customHeight="1">
      <c r="A214" s="115"/>
      <c r="B214" s="116"/>
      <c r="C214" s="117"/>
      <c r="D214" s="117"/>
      <c r="E214" s="118"/>
      <c r="F214" s="119"/>
      <c r="G214" s="120"/>
      <c r="H214" s="30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121"/>
      <c r="BB214" s="121"/>
      <c r="BC214" s="121"/>
      <c r="BD214" s="121"/>
      <c r="BE214" s="121"/>
      <c r="BF214" s="121"/>
      <c r="BG214" s="121"/>
      <c r="BH214" s="121"/>
      <c r="BI214" s="121"/>
      <c r="BJ214" s="121"/>
      <c r="BK214" s="121"/>
      <c r="BL214" s="121"/>
    </row>
    <row r="215" spans="1:64" ht="30" customHeight="1">
      <c r="A215" s="115"/>
      <c r="B215" s="116"/>
      <c r="C215" s="117"/>
      <c r="D215" s="117"/>
      <c r="E215" s="118"/>
      <c r="F215" s="119"/>
      <c r="G215" s="120"/>
      <c r="H215" s="30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  <c r="AP215" s="121"/>
      <c r="AQ215" s="121"/>
      <c r="AR215" s="121"/>
      <c r="AS215" s="121"/>
      <c r="AT215" s="121"/>
      <c r="AU215" s="121"/>
      <c r="AV215" s="121"/>
      <c r="AW215" s="121"/>
      <c r="AX215" s="121"/>
      <c r="AY215" s="121"/>
      <c r="AZ215" s="121"/>
      <c r="BA215" s="121"/>
      <c r="BB215" s="121"/>
      <c r="BC215" s="121"/>
      <c r="BD215" s="121"/>
      <c r="BE215" s="121"/>
      <c r="BF215" s="121"/>
      <c r="BG215" s="121"/>
      <c r="BH215" s="121"/>
      <c r="BI215" s="121"/>
      <c r="BJ215" s="121"/>
      <c r="BK215" s="121"/>
      <c r="BL215" s="121"/>
    </row>
    <row r="216" spans="1:64" ht="30" customHeight="1">
      <c r="A216" s="115"/>
      <c r="B216" s="116"/>
      <c r="C216" s="117"/>
      <c r="D216" s="117"/>
      <c r="E216" s="118"/>
      <c r="F216" s="119"/>
      <c r="G216" s="120"/>
      <c r="H216" s="30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1"/>
      <c r="BE216" s="121"/>
      <c r="BF216" s="121"/>
      <c r="BG216" s="121"/>
      <c r="BH216" s="121"/>
      <c r="BI216" s="121"/>
      <c r="BJ216" s="121"/>
      <c r="BK216" s="121"/>
      <c r="BL216" s="121"/>
    </row>
    <row r="217" spans="1:64" ht="30" customHeight="1">
      <c r="A217" s="115"/>
      <c r="B217" s="116"/>
      <c r="C217" s="117"/>
      <c r="D217" s="117"/>
      <c r="E217" s="118"/>
      <c r="F217" s="119"/>
      <c r="G217" s="120"/>
      <c r="H217" s="30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  <c r="AP217" s="121"/>
      <c r="AQ217" s="121"/>
      <c r="AR217" s="121"/>
      <c r="AS217" s="121"/>
      <c r="AT217" s="121"/>
      <c r="AU217" s="121"/>
      <c r="AV217" s="121"/>
      <c r="AW217" s="121"/>
      <c r="AX217" s="121"/>
      <c r="AY217" s="121"/>
      <c r="AZ217" s="121"/>
      <c r="BA217" s="121"/>
      <c r="BB217" s="121"/>
      <c r="BC217" s="121"/>
      <c r="BD217" s="121"/>
      <c r="BE217" s="121"/>
      <c r="BF217" s="121"/>
      <c r="BG217" s="121"/>
      <c r="BH217" s="121"/>
      <c r="BI217" s="121"/>
      <c r="BJ217" s="121"/>
      <c r="BK217" s="121"/>
      <c r="BL217" s="121"/>
    </row>
    <row r="218" spans="1:64" ht="30" customHeight="1">
      <c r="A218" s="115"/>
      <c r="B218" s="116"/>
      <c r="C218" s="117"/>
      <c r="D218" s="117"/>
      <c r="E218" s="118"/>
      <c r="F218" s="119"/>
      <c r="G218" s="120"/>
      <c r="H218" s="30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  <c r="AP218" s="121"/>
      <c r="AQ218" s="121"/>
      <c r="AR218" s="121"/>
      <c r="AS218" s="121"/>
      <c r="AT218" s="121"/>
      <c r="AU218" s="121"/>
      <c r="AV218" s="121"/>
      <c r="AW218" s="121"/>
      <c r="AX218" s="121"/>
      <c r="AY218" s="121"/>
      <c r="AZ218" s="121"/>
      <c r="BA218" s="121"/>
      <c r="BB218" s="121"/>
      <c r="BC218" s="121"/>
      <c r="BD218" s="121"/>
      <c r="BE218" s="121"/>
      <c r="BF218" s="121"/>
      <c r="BG218" s="121"/>
      <c r="BH218" s="121"/>
      <c r="BI218" s="121"/>
      <c r="BJ218" s="121"/>
      <c r="BK218" s="121"/>
      <c r="BL218" s="121"/>
    </row>
    <row r="219" spans="1:64" ht="30" customHeight="1">
      <c r="A219" s="115"/>
      <c r="B219" s="116"/>
      <c r="C219" s="117"/>
      <c r="D219" s="117"/>
      <c r="E219" s="118"/>
      <c r="F219" s="119"/>
      <c r="G219" s="120"/>
      <c r="H219" s="30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  <c r="AQ219" s="121"/>
      <c r="AR219" s="121"/>
      <c r="AS219" s="121"/>
      <c r="AT219" s="121"/>
      <c r="AU219" s="121"/>
      <c r="AV219" s="121"/>
      <c r="AW219" s="121"/>
      <c r="AX219" s="121"/>
      <c r="AY219" s="121"/>
      <c r="AZ219" s="121"/>
      <c r="BA219" s="121"/>
      <c r="BB219" s="121"/>
      <c r="BC219" s="121"/>
      <c r="BD219" s="121"/>
      <c r="BE219" s="121"/>
      <c r="BF219" s="121"/>
      <c r="BG219" s="121"/>
      <c r="BH219" s="121"/>
      <c r="BI219" s="121"/>
      <c r="BJ219" s="121"/>
      <c r="BK219" s="121"/>
      <c r="BL219" s="121"/>
    </row>
    <row r="220" spans="1:64" ht="30" customHeight="1">
      <c r="A220" s="115"/>
      <c r="B220" s="116"/>
      <c r="C220" s="117"/>
      <c r="D220" s="117"/>
      <c r="E220" s="118"/>
      <c r="F220" s="119"/>
      <c r="G220" s="120"/>
      <c r="H220" s="30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  <c r="AP220" s="121"/>
      <c r="AQ220" s="121"/>
      <c r="AR220" s="121"/>
      <c r="AS220" s="121"/>
      <c r="AT220" s="121"/>
      <c r="AU220" s="121"/>
      <c r="AV220" s="121"/>
      <c r="AW220" s="121"/>
      <c r="AX220" s="121"/>
      <c r="AY220" s="121"/>
      <c r="AZ220" s="121"/>
      <c r="BA220" s="121"/>
      <c r="BB220" s="121"/>
      <c r="BC220" s="121"/>
      <c r="BD220" s="121"/>
      <c r="BE220" s="121"/>
      <c r="BF220" s="121"/>
      <c r="BG220" s="121"/>
      <c r="BH220" s="121"/>
      <c r="BI220" s="121"/>
      <c r="BJ220" s="121"/>
      <c r="BK220" s="121"/>
      <c r="BL220" s="121"/>
    </row>
    <row r="221" spans="1:64" ht="30" customHeight="1">
      <c r="A221" s="115"/>
      <c r="B221" s="116"/>
      <c r="C221" s="117"/>
      <c r="D221" s="117"/>
      <c r="E221" s="118"/>
      <c r="F221" s="119"/>
      <c r="G221" s="120"/>
      <c r="H221" s="30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  <c r="AQ221" s="121"/>
      <c r="AR221" s="121"/>
      <c r="AS221" s="121"/>
      <c r="AT221" s="121"/>
      <c r="AU221" s="121"/>
      <c r="AV221" s="121"/>
      <c r="AW221" s="121"/>
      <c r="AX221" s="121"/>
      <c r="AY221" s="121"/>
      <c r="AZ221" s="121"/>
      <c r="BA221" s="121"/>
      <c r="BB221" s="121"/>
      <c r="BC221" s="121"/>
      <c r="BD221" s="121"/>
      <c r="BE221" s="121"/>
      <c r="BF221" s="121"/>
      <c r="BG221" s="121"/>
      <c r="BH221" s="121"/>
      <c r="BI221" s="121"/>
      <c r="BJ221" s="121"/>
      <c r="BK221" s="121"/>
      <c r="BL221" s="121"/>
    </row>
    <row r="222" spans="1:64" ht="30" customHeight="1">
      <c r="A222" s="115"/>
      <c r="B222" s="116"/>
      <c r="C222" s="117"/>
      <c r="D222" s="117"/>
      <c r="E222" s="118"/>
      <c r="F222" s="119"/>
      <c r="G222" s="120"/>
      <c r="H222" s="30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  <c r="AP222" s="121"/>
      <c r="AQ222" s="121"/>
      <c r="AR222" s="121"/>
      <c r="AS222" s="121"/>
      <c r="AT222" s="121"/>
      <c r="AU222" s="121"/>
      <c r="AV222" s="121"/>
      <c r="AW222" s="121"/>
      <c r="AX222" s="121"/>
      <c r="AY222" s="121"/>
      <c r="AZ222" s="121"/>
      <c r="BA222" s="121"/>
      <c r="BB222" s="121"/>
      <c r="BC222" s="121"/>
      <c r="BD222" s="121"/>
      <c r="BE222" s="121"/>
      <c r="BF222" s="121"/>
      <c r="BG222" s="121"/>
      <c r="BH222" s="121"/>
      <c r="BI222" s="121"/>
      <c r="BJ222" s="121"/>
      <c r="BK222" s="121"/>
      <c r="BL222" s="121"/>
    </row>
  </sheetData>
  <mergeCells count="13">
    <mergeCell ref="D3:E3"/>
    <mergeCell ref="B1:G2"/>
    <mergeCell ref="A1:A5"/>
    <mergeCell ref="D4:E4"/>
    <mergeCell ref="F3:G3"/>
    <mergeCell ref="D5:G5"/>
    <mergeCell ref="B3:C5"/>
    <mergeCell ref="S2:V2"/>
    <mergeCell ref="N2:Q2"/>
    <mergeCell ref="N3:Q3"/>
    <mergeCell ref="S3:V3"/>
    <mergeCell ref="I2:L2"/>
    <mergeCell ref="I3:L3"/>
  </mergeCells>
  <conditionalFormatting sqref="E7:E8 E82:E222">
    <cfRule type="dataBar" priority="4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{190CCDE4-E8F2-42DD-9909-5756C800E600}</x14:id>
        </ext>
      </extLst>
    </cfRule>
  </conditionalFormatting>
  <conditionalFormatting sqref="I27:BL29 I5:BL19 I31:BL35 I37:BL222">
    <cfRule type="expression" dxfId="22" priority="37">
      <formula>AND(TODAY()&gt;=I$5,TODAY()&lt;J$5)</formula>
    </cfRule>
  </conditionalFormatting>
  <conditionalFormatting sqref="I4">
    <cfRule type="expression" dxfId="21" priority="40">
      <formula>I$5&lt;=EOMONTH($I$5,0)</formula>
    </cfRule>
  </conditionalFormatting>
  <conditionalFormatting sqref="BG4:BL4">
    <cfRule type="expression" dxfId="20" priority="39">
      <formula>AND(BG$5&lt;=EOMONTH($I$5,2),BG$5&gt;EOMONTH($I$5,0),BG$5&gt;EOMONTH($I$5,1))</formula>
    </cfRule>
  </conditionalFormatting>
  <conditionalFormatting sqref="I4 BG4:BL4">
    <cfRule type="expression" dxfId="19" priority="38">
      <formula>AND(I$5&lt;=EOMONTH($I$5,1),I$5&gt;EOMONTH($I$5,0))</formula>
    </cfRule>
  </conditionalFormatting>
  <conditionalFormatting sqref="I30:BL30">
    <cfRule type="expression" dxfId="18" priority="29">
      <formula>AND(TODAY()&gt;=I$5,TODAY()&lt;J$5)</formula>
    </cfRule>
  </conditionalFormatting>
  <conditionalFormatting sqref="I36:BL36">
    <cfRule type="expression" dxfId="17" priority="26">
      <formula>AND(TODAY()&gt;=I$5,TODAY()&lt;J$5)</formula>
    </cfRule>
  </conditionalFormatting>
  <conditionalFormatting sqref="I26:BL26">
    <cfRule type="expression" dxfId="16" priority="19">
      <formula>AND(TODAY()&gt;=I$5,TODAY()&lt;J$5)</formula>
    </cfRule>
  </conditionalFormatting>
  <conditionalFormatting sqref="I20:BL25">
    <cfRule type="expression" dxfId="15" priority="11">
      <formula>AND(TODAY()&gt;=I$5,TODAY()&lt;J$5)</formula>
    </cfRule>
  </conditionalFormatting>
  <conditionalFormatting sqref="A82:A222">
    <cfRule type="containsText" dxfId="14" priority="10" operator="containsText" text="Planejamento">
      <formula>NOT(ISERROR(SEARCH("Planejamento",A82)))</formula>
    </cfRule>
  </conditionalFormatting>
  <conditionalFormatting sqref="A82:A222">
    <cfRule type="containsText" dxfId="13" priority="9" operator="containsText" text="Gestão">
      <formula>NOT(ISERROR(SEARCH("Gestão",A82)))</formula>
    </cfRule>
  </conditionalFormatting>
  <conditionalFormatting sqref="I8:BL50">
    <cfRule type="expression" dxfId="12" priority="74" stopIfTrue="1">
      <formula>AND($C8="Baixo risco",I$5&gt;=$F8,I$5&lt;=$F8+$G8-1)</formula>
    </cfRule>
    <cfRule type="expression" dxfId="11" priority="75" stopIfTrue="1">
      <formula>AND($C8="Alto risco",I$5&gt;=$F8,I$5&lt;=$F8+$G8-1)</formula>
    </cfRule>
    <cfRule type="expression" dxfId="10" priority="76" stopIfTrue="1">
      <formula>AND($C8="No prazo",I$5&gt;=$F8,I$5&lt;=$F8+$G8-1)</formula>
    </cfRule>
    <cfRule type="expression" dxfId="9" priority="77" stopIfTrue="1">
      <formula>AND($C8="Médio risco",I$5&gt;=$F8,I$5&lt;=$F8+$G8-1)</formula>
    </cfRule>
    <cfRule type="expression" dxfId="8" priority="78" stopIfTrue="1">
      <formula>AND(LEN($C8)=0,I$5&gt;=$F8,I$5&lt;=$F8+$G8-1)</formula>
    </cfRule>
  </conditionalFormatting>
  <dataValidations count="4">
    <dataValidation type="list" allowBlank="1" showInputMessage="1" showErrorMessage="1" sqref="C8 C82:C222" xr:uid="{00000000-0002-0000-0300-000000000000}">
      <formula1>"Objetivo,Marco,No prazo, Baixo risco, Médio risco, Alto risco"</formula1>
    </dataValidation>
    <dataValidation type="whole" operator="greaterThanOrEqual" allowBlank="1" showInputMessage="1" promptTitle="Incremento de rolagem" prompt="Alterar esse número rola a exibição do Gráfico de Gantt." sqref="F4" xr:uid="{00000000-0002-0000-0300-000001000000}">
      <formula1>0</formula1>
    </dataValidation>
    <dataValidation type="list" allowBlank="1" showInputMessage="1" showErrorMessage="1" sqref="C9:C14" xr:uid="{05855A75-8B39-470F-ADE8-9E4B2FFC6AE3}">
      <formula1>" Baixo risco, Médio risco, Alto risco"</formula1>
    </dataValidation>
    <dataValidation type="list" allowBlank="1" showInputMessage="1" showErrorMessage="1" sqref="C15:C81" xr:uid="{65A81D47-9C48-4DEE-8BBB-43F223F67A8C}">
      <formula1>"Baixo risco, Médio risco, Alto risco"</formula1>
    </dataValidation>
  </dataValidations>
  <printOptions horizontalCentered="1"/>
  <pageMargins left="0.25" right="0.25" top="0.5" bottom="0.5" header="0.3" footer="0.3"/>
  <pageSetup paperSize="9" scale="47" fitToHeight="0" orientation="landscape" r:id="rId1"/>
  <headerFooter differentFirst="1" scaleWithDoc="0"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arra de Rolagem 5">
              <controlPr defaultSize="0" autoPict="0" altText="Scroll bar to scroll through the Ghantt project timeline.">
                <anchor moveWithCells="1">
                  <from>
                    <xdr:col>8</xdr:col>
                    <xdr:colOff>28575</xdr:colOff>
                    <xdr:row>5</xdr:row>
                    <xdr:rowOff>57150</xdr:rowOff>
                  </from>
                  <to>
                    <xdr:col>55</xdr:col>
                    <xdr:colOff>190500</xdr:colOff>
                    <xdr:row>6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0CCDE4-E8F2-42DD-9909-5756C800E6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E7:E8 E82:E222</xm:sqref>
        </x14:conditionalFormatting>
        <x14:conditionalFormatting xmlns:xm="http://schemas.microsoft.com/office/excel/2006/main">
          <x14:cfRule type="iconSet" priority="31" id="{3A38DA94-79F1-42F6-BDDF-0F7248443897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I30:BL30</xm:sqref>
        </x14:conditionalFormatting>
        <x14:conditionalFormatting xmlns:xm="http://schemas.microsoft.com/office/excel/2006/main">
          <x14:cfRule type="iconSet" priority="28" id="{4021A956-A302-4261-A21F-2AA091894DB4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  <x14:conditionalFormatting xmlns:xm="http://schemas.microsoft.com/office/excel/2006/main">
          <x14:cfRule type="iconSet" priority="20" id="{7DB3139D-27D4-467C-9F3F-36DC617AD25E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I26:BL26</xm:sqref>
        </x14:conditionalFormatting>
        <x14:conditionalFormatting xmlns:xm="http://schemas.microsoft.com/office/excel/2006/main">
          <x14:cfRule type="iconSet" priority="13" id="{26182E44-2C4F-480A-A966-1BE6AB891587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I20:BL25</xm:sqref>
        </x14:conditionalFormatting>
        <x14:conditionalFormatting xmlns:xm="http://schemas.microsoft.com/office/excel/2006/main">
          <x14:cfRule type="iconSet" priority="63" id="{8F1E282E-0AF9-4666-B777-0ACFFD36B88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I8:BL19 I37:BL50 I27:BL29 I31:BL35</xm:sqref>
        </x14:conditionalFormatting>
        <x14:conditionalFormatting xmlns:xm="http://schemas.microsoft.com/office/excel/2006/main">
          <x14:cfRule type="iconSet" priority="84" id="{4E60A565-1FDF-4470-BE5A-47C2FA6AEDC3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I51:BL222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B2:I21"/>
  <sheetViews>
    <sheetView topLeftCell="A22" workbookViewId="0">
      <selection activeCell="I11" sqref="I11"/>
    </sheetView>
  </sheetViews>
  <sheetFormatPr defaultRowHeight="15"/>
  <cols>
    <col min="2" max="2" width="21.85546875" customWidth="1"/>
    <col min="3" max="3" width="10.7109375" customWidth="1"/>
    <col min="4" max="4" width="14.7109375" customWidth="1"/>
    <col min="5" max="5" width="13.85546875" customWidth="1"/>
    <col min="6" max="6" width="14.42578125" customWidth="1"/>
    <col min="7" max="7" width="24.5703125" customWidth="1"/>
    <col min="9" max="9" width="16.85546875" customWidth="1"/>
  </cols>
  <sheetData>
    <row r="2" spans="2:9">
      <c r="B2" s="586" t="s">
        <v>681</v>
      </c>
      <c r="C2" s="586"/>
      <c r="D2" s="586"/>
      <c r="E2" s="586"/>
      <c r="F2" s="586"/>
      <c r="G2" s="586"/>
      <c r="I2" t="s">
        <v>682</v>
      </c>
    </row>
    <row r="3" spans="2:9">
      <c r="B3" s="587" t="s">
        <v>683</v>
      </c>
      <c r="C3" s="587" t="s">
        <v>655</v>
      </c>
      <c r="D3" s="587" t="s">
        <v>684</v>
      </c>
      <c r="E3" s="587" t="s">
        <v>685</v>
      </c>
      <c r="F3" s="587"/>
      <c r="G3" s="588" t="s">
        <v>686</v>
      </c>
    </row>
    <row r="4" spans="2:9">
      <c r="B4" s="587"/>
      <c r="C4" s="587"/>
      <c r="D4" s="587"/>
      <c r="E4" s="12" t="s">
        <v>687</v>
      </c>
      <c r="F4" s="12" t="s">
        <v>688</v>
      </c>
      <c r="G4" s="588"/>
    </row>
    <row r="5" spans="2:9">
      <c r="B5" s="9" t="s">
        <v>689</v>
      </c>
      <c r="C5" s="4">
        <v>44435</v>
      </c>
      <c r="D5" s="9" t="s">
        <v>690</v>
      </c>
      <c r="E5" s="3">
        <v>0.54166666666666663</v>
      </c>
      <c r="F5" s="3">
        <v>0.68055555555555547</v>
      </c>
      <c r="G5" s="2" t="s">
        <v>691</v>
      </c>
    </row>
    <row r="6" spans="2:9" ht="48.75" customHeight="1">
      <c r="B6" s="9" t="s">
        <v>692</v>
      </c>
      <c r="C6" s="4">
        <v>44436</v>
      </c>
      <c r="D6" s="9" t="s">
        <v>690</v>
      </c>
      <c r="E6" s="3">
        <v>0.54166666666666663</v>
      </c>
      <c r="F6" s="3">
        <v>0.68055555555555547</v>
      </c>
      <c r="G6" s="1" t="s">
        <v>693</v>
      </c>
    </row>
    <row r="7" spans="2:9" ht="75">
      <c r="B7" s="9" t="s">
        <v>694</v>
      </c>
      <c r="C7" s="4">
        <v>44437</v>
      </c>
      <c r="D7" s="9" t="s">
        <v>690</v>
      </c>
      <c r="E7" s="3">
        <v>0.54166666666666663</v>
      </c>
      <c r="F7" s="3">
        <v>0.68055555555555547</v>
      </c>
      <c r="G7" s="2" t="s">
        <v>695</v>
      </c>
    </row>
    <row r="8" spans="2:9" ht="45">
      <c r="B8" s="9" t="s">
        <v>696</v>
      </c>
      <c r="C8" s="4">
        <v>44438</v>
      </c>
      <c r="D8" s="9" t="s">
        <v>690</v>
      </c>
      <c r="E8" s="3">
        <v>0.54166666666666663</v>
      </c>
      <c r="F8" s="3">
        <v>0.68055555555555547</v>
      </c>
      <c r="G8" s="2" t="s">
        <v>697</v>
      </c>
    </row>
    <row r="9" spans="2:9">
      <c r="B9" s="9" t="s">
        <v>698</v>
      </c>
      <c r="C9" s="4">
        <v>44439</v>
      </c>
      <c r="D9" s="9" t="s">
        <v>690</v>
      </c>
      <c r="E9" s="3">
        <v>0.54166666666666663</v>
      </c>
      <c r="F9" s="3">
        <v>0.68055555555555547</v>
      </c>
      <c r="G9" s="10" t="s">
        <v>699</v>
      </c>
    </row>
    <row r="10" spans="2:9" ht="45">
      <c r="B10" s="9" t="s">
        <v>700</v>
      </c>
      <c r="C10" s="4">
        <v>44440</v>
      </c>
      <c r="D10" s="9" t="s">
        <v>690</v>
      </c>
      <c r="E10" s="3">
        <v>0.54166666666666663</v>
      </c>
      <c r="F10" s="3">
        <v>0.68055555555555547</v>
      </c>
      <c r="G10" s="2" t="s">
        <v>701</v>
      </c>
    </row>
    <row r="11" spans="2:9" ht="105">
      <c r="B11" s="10" t="s">
        <v>702</v>
      </c>
      <c r="C11" s="4">
        <v>44441</v>
      </c>
      <c r="D11" s="9" t="s">
        <v>690</v>
      </c>
      <c r="E11" s="3">
        <v>0.54166666666666663</v>
      </c>
      <c r="F11" s="3">
        <v>0.68055555555555547</v>
      </c>
      <c r="G11" s="2" t="s">
        <v>703</v>
      </c>
    </row>
    <row r="12" spans="2:9" ht="30">
      <c r="B12" s="10" t="s">
        <v>704</v>
      </c>
      <c r="C12" s="4">
        <v>44442</v>
      </c>
      <c r="D12" s="9" t="s">
        <v>690</v>
      </c>
      <c r="E12" s="3">
        <v>0.54166666666666663</v>
      </c>
      <c r="F12" s="3">
        <v>0.68055555555555547</v>
      </c>
      <c r="G12" s="2" t="s">
        <v>705</v>
      </c>
    </row>
    <row r="13" spans="2:9">
      <c r="B13" s="10" t="s">
        <v>706</v>
      </c>
      <c r="C13" s="4">
        <v>44443</v>
      </c>
      <c r="D13" s="9" t="s">
        <v>690</v>
      </c>
      <c r="E13" s="3">
        <v>0.54166666666666663</v>
      </c>
      <c r="F13" s="3">
        <v>0.68055555555555547</v>
      </c>
      <c r="G13" s="2" t="s">
        <v>707</v>
      </c>
    </row>
    <row r="14" spans="2:9" ht="30">
      <c r="B14" s="10">
        <v>1.9</v>
      </c>
      <c r="C14" s="4">
        <v>44444</v>
      </c>
      <c r="D14" s="9" t="s">
        <v>690</v>
      </c>
      <c r="E14" s="3">
        <v>0.54166666666666663</v>
      </c>
      <c r="F14" s="3">
        <v>0.68055555555555547</v>
      </c>
      <c r="G14" s="2" t="s">
        <v>708</v>
      </c>
    </row>
    <row r="15" spans="2:9" ht="60">
      <c r="B15" s="10" t="s">
        <v>709</v>
      </c>
      <c r="C15" s="4">
        <v>44445</v>
      </c>
      <c r="D15" s="9" t="s">
        <v>690</v>
      </c>
      <c r="E15" s="3">
        <v>0.54166666666666663</v>
      </c>
      <c r="F15" s="3">
        <v>0.68055555555555547</v>
      </c>
      <c r="G15" s="2" t="s">
        <v>710</v>
      </c>
    </row>
    <row r="16" spans="2:9" ht="45">
      <c r="B16" s="10" t="s">
        <v>711</v>
      </c>
      <c r="C16" s="4">
        <v>44446</v>
      </c>
      <c r="D16" s="9" t="s">
        <v>690</v>
      </c>
      <c r="E16" s="3">
        <v>0.54166666666666663</v>
      </c>
      <c r="F16" s="3">
        <v>0.68055555555555547</v>
      </c>
      <c r="G16" s="2" t="s">
        <v>712</v>
      </c>
    </row>
    <row r="17" spans="2:7">
      <c r="B17" s="10" t="s">
        <v>713</v>
      </c>
      <c r="C17" s="4">
        <v>44447</v>
      </c>
      <c r="D17" s="9" t="s">
        <v>690</v>
      </c>
      <c r="E17" s="3">
        <v>0.54166666666666663</v>
      </c>
      <c r="F17" s="3">
        <v>0.68055555555555547</v>
      </c>
      <c r="G17" s="2" t="s">
        <v>714</v>
      </c>
    </row>
    <row r="18" spans="2:7">
      <c r="B18" s="10" t="s">
        <v>715</v>
      </c>
      <c r="C18" s="4">
        <v>44448</v>
      </c>
      <c r="D18" s="9" t="s">
        <v>690</v>
      </c>
      <c r="E18" s="3">
        <v>0.54166666666666663</v>
      </c>
      <c r="F18" s="3">
        <v>0.68055555555555547</v>
      </c>
      <c r="G18" s="2" t="s">
        <v>716</v>
      </c>
    </row>
    <row r="19" spans="2:7">
      <c r="B19" s="10" t="s">
        <v>717</v>
      </c>
      <c r="C19" s="4">
        <v>44449</v>
      </c>
      <c r="D19" s="9" t="s">
        <v>690</v>
      </c>
      <c r="E19" s="3">
        <v>0.54166666666666663</v>
      </c>
      <c r="F19" s="3">
        <v>0.68055555555555547</v>
      </c>
      <c r="G19" s="2" t="s">
        <v>718</v>
      </c>
    </row>
    <row r="20" spans="2:7">
      <c r="B20" s="10"/>
      <c r="C20" s="10"/>
      <c r="D20" s="10"/>
      <c r="E20" s="10"/>
      <c r="F20" s="10"/>
      <c r="G20" s="2"/>
    </row>
    <row r="21" spans="2:7">
      <c r="B21" s="11"/>
      <c r="C21" s="11"/>
      <c r="D21" s="11"/>
      <c r="E21" s="11"/>
      <c r="F21" s="11"/>
      <c r="G21" s="11"/>
    </row>
  </sheetData>
  <mergeCells count="6">
    <mergeCell ref="B2:G2"/>
    <mergeCell ref="E3:F3"/>
    <mergeCell ref="D3:D4"/>
    <mergeCell ref="C3:C4"/>
    <mergeCell ref="B3:B4"/>
    <mergeCell ref="G3:G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0D47-EF47-43D8-BB6E-90868B013527}">
  <sheetPr codeName="Planilha8">
    <pageSetUpPr fitToPage="1"/>
  </sheetPr>
  <dimension ref="A1:F52"/>
  <sheetViews>
    <sheetView showGridLines="0" topLeftCell="D30" zoomScaleNormal="100" workbookViewId="0">
      <selection activeCell="D30" sqref="D30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720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97" t="s">
        <v>722</v>
      </c>
    </row>
    <row r="5" spans="1:6" ht="12.75" customHeight="1" thickBot="1">
      <c r="A5" s="607"/>
      <c r="B5" s="612"/>
      <c r="C5" s="612"/>
      <c r="D5" s="612"/>
      <c r="E5" s="613"/>
      <c r="F5" s="196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 thickBot="1">
      <c r="A8" s="186" t="s">
        <v>724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179"/>
    </row>
    <row r="10" spans="1:6">
      <c r="A10" s="154"/>
      <c r="B10" s="137"/>
      <c r="D10" s="137"/>
      <c r="F10" s="137"/>
    </row>
    <row r="11" spans="1:6" ht="13.5" thickBot="1">
      <c r="A11" s="152"/>
      <c r="B11" s="150"/>
      <c r="C11" s="151"/>
      <c r="D11" s="150"/>
      <c r="E11" s="151"/>
      <c r="F11" s="150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C14" s="131" t="s">
        <v>735</v>
      </c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195" t="s">
        <v>741</v>
      </c>
      <c r="D30" s="151"/>
      <c r="F30" s="137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33" t="s">
        <v>747</v>
      </c>
      <c r="B33" s="153" t="s">
        <v>748</v>
      </c>
      <c r="C33" s="154" t="s">
        <v>746</v>
      </c>
      <c r="F33" s="137"/>
    </row>
    <row r="34" spans="1:6">
      <c r="A34" s="133" t="s">
        <v>749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751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757</v>
      </c>
      <c r="B40" s="141" t="s">
        <v>758</v>
      </c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 t="s">
        <v>759</v>
      </c>
      <c r="B42" s="141" t="s">
        <v>760</v>
      </c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/>
      <c r="B44" s="141"/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765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3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1E4D-0EAD-494D-8CBF-DFB9FBE4B2CE}">
  <sheetPr codeName="Planilha7">
    <pageSetUpPr fitToPage="1"/>
  </sheetPr>
  <dimension ref="A1:F52"/>
  <sheetViews>
    <sheetView showGridLines="0" zoomScaleNormal="100" workbookViewId="0">
      <selection activeCell="A42" sqref="A42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768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88"/>
    </row>
    <row r="5" spans="1:6" ht="12.75" customHeight="1" thickBot="1">
      <c r="A5" s="607"/>
      <c r="B5" s="612"/>
      <c r="C5" s="612"/>
      <c r="D5" s="612"/>
      <c r="E5" s="613"/>
      <c r="F5" s="187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 thickBo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179"/>
    </row>
    <row r="10" spans="1:6">
      <c r="A10" s="154"/>
      <c r="B10" s="137"/>
      <c r="D10" s="137"/>
      <c r="F10" s="137"/>
    </row>
    <row r="11" spans="1:6" ht="13.5" thickBot="1">
      <c r="A11" s="152"/>
      <c r="B11" s="150"/>
      <c r="C11" s="151"/>
      <c r="D11" s="150"/>
      <c r="E11" s="151"/>
      <c r="F11" s="150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133"/>
      <c r="D30" s="151"/>
      <c r="F30" s="137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33" t="s">
        <v>747</v>
      </c>
      <c r="B33" s="153" t="s">
        <v>748</v>
      </c>
      <c r="C33" s="154" t="s">
        <v>746</v>
      </c>
      <c r="F33" s="137"/>
    </row>
    <row r="34" spans="1:6">
      <c r="A34" s="133" t="s">
        <v>749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751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690</v>
      </c>
      <c r="B40" s="141"/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/>
      <c r="B42" s="141"/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/>
      <c r="B44" s="141"/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765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3">
    <mergeCell ref="E39:E40"/>
    <mergeCell ref="A1:A5"/>
    <mergeCell ref="B1:E5"/>
    <mergeCell ref="F1:F2"/>
    <mergeCell ref="A12:F12"/>
    <mergeCell ref="A23:F24"/>
    <mergeCell ref="D45:F45"/>
    <mergeCell ref="E49:E52"/>
    <mergeCell ref="F49:F52"/>
    <mergeCell ref="A51:B51"/>
    <mergeCell ref="C51:D51"/>
    <mergeCell ref="A52:B52"/>
    <mergeCell ref="C52:D52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394D-AF5D-4AA4-9F00-AD911D744789}">
  <sheetPr codeName="Planilha9">
    <pageSetUpPr fitToPage="1"/>
  </sheetPr>
  <dimension ref="A1:F52"/>
  <sheetViews>
    <sheetView showGridLines="0" topLeftCell="A30" zoomScale="70" zoomScaleNormal="70" workbookViewId="0">
      <selection activeCell="B44" sqref="B44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770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88"/>
    </row>
    <row r="5" spans="1:6" ht="12.75" customHeight="1" thickBot="1">
      <c r="A5" s="607"/>
      <c r="B5" s="612"/>
      <c r="C5" s="612"/>
      <c r="D5" s="612"/>
      <c r="E5" s="613"/>
      <c r="F5" s="187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204" t="s">
        <v>771</v>
      </c>
    </row>
    <row r="10" spans="1:6">
      <c r="A10" s="154" t="s">
        <v>772</v>
      </c>
      <c r="B10" s="137" t="s">
        <v>773</v>
      </c>
      <c r="D10" s="137"/>
      <c r="F10" s="137"/>
    </row>
    <row r="11" spans="1:6">
      <c r="A11" s="152"/>
      <c r="B11" s="150"/>
      <c r="C11" s="151"/>
      <c r="D11" s="150"/>
      <c r="E11" s="151"/>
      <c r="F11" s="150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133"/>
      <c r="D30" s="151"/>
      <c r="F30" s="137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D32" s="131" t="s">
        <v>774</v>
      </c>
      <c r="F32" s="137"/>
    </row>
    <row r="33" spans="1:6">
      <c r="A33" s="133" t="s">
        <v>747</v>
      </c>
      <c r="B33" s="153" t="s">
        <v>748</v>
      </c>
      <c r="C33" s="154" t="s">
        <v>746</v>
      </c>
      <c r="F33" s="137"/>
    </row>
    <row r="34" spans="1:6">
      <c r="A34" s="133" t="s">
        <v>749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751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775</v>
      </c>
      <c r="B40" s="141" t="s">
        <v>648</v>
      </c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 t="s">
        <v>776</v>
      </c>
      <c r="B42" s="141" t="s">
        <v>648</v>
      </c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 t="s">
        <v>777</v>
      </c>
      <c r="B44" s="141" t="s">
        <v>648</v>
      </c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765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3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1DB5-3CD0-4833-ABA3-07686724DBAA}">
  <sheetPr codeName="Planilha10">
    <pageSetUpPr fitToPage="1"/>
  </sheetPr>
  <dimension ref="A1:F52"/>
  <sheetViews>
    <sheetView showGridLines="0" zoomScaleNormal="100" workbookViewId="0">
      <selection activeCell="A46" sqref="A46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778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88"/>
    </row>
    <row r="5" spans="1:6" ht="12.75" customHeight="1" thickBot="1">
      <c r="A5" s="607"/>
      <c r="B5" s="612"/>
      <c r="C5" s="612"/>
      <c r="D5" s="612"/>
      <c r="E5" s="613"/>
      <c r="F5" s="187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 thickBo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179"/>
    </row>
    <row r="10" spans="1:6">
      <c r="A10" s="154"/>
      <c r="B10" s="137"/>
      <c r="D10" s="137"/>
      <c r="F10" s="137"/>
    </row>
    <row r="11" spans="1:6" ht="13.5" thickBot="1">
      <c r="A11" s="152"/>
      <c r="B11" s="150"/>
      <c r="C11" s="151"/>
      <c r="D11" s="150"/>
      <c r="E11" s="151"/>
      <c r="F11" s="150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195" t="s">
        <v>779</v>
      </c>
      <c r="D30" s="151"/>
      <c r="F30" s="137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33" t="s">
        <v>747</v>
      </c>
      <c r="B33" s="153" t="s">
        <v>748</v>
      </c>
      <c r="C33" s="154" t="s">
        <v>746</v>
      </c>
      <c r="F33" s="137"/>
    </row>
    <row r="34" spans="1:6">
      <c r="A34" s="133" t="s">
        <v>749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751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780</v>
      </c>
      <c r="B40" s="141" t="s">
        <v>648</v>
      </c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/>
      <c r="B42" s="141"/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/>
      <c r="B44" s="141"/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765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3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F505-BB76-406C-AADF-1D462B3292CD}">
  <sheetPr codeName="Planilha11">
    <pageSetUpPr fitToPage="1"/>
  </sheetPr>
  <dimension ref="A1:F53"/>
  <sheetViews>
    <sheetView showGridLines="0" topLeftCell="A23" zoomScale="85" zoomScaleNormal="85" workbookViewId="0">
      <selection activeCell="B40" sqref="B40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25" t="s">
        <v>768</v>
      </c>
      <c r="C1" s="608"/>
      <c r="D1" s="608"/>
      <c r="E1" s="609"/>
      <c r="F1" s="614"/>
    </row>
    <row r="2" spans="1:6" ht="12.75" customHeight="1">
      <c r="A2" s="606"/>
      <c r="B2" s="626"/>
      <c r="C2" s="610"/>
      <c r="D2" s="610"/>
      <c r="E2" s="611"/>
      <c r="F2" s="615"/>
    </row>
    <row r="3" spans="1:6" ht="12.75" customHeight="1">
      <c r="A3" s="606"/>
      <c r="B3" s="626"/>
      <c r="C3" s="610"/>
      <c r="D3" s="610"/>
      <c r="E3" s="611"/>
      <c r="F3" s="189" t="s">
        <v>721</v>
      </c>
    </row>
    <row r="4" spans="1:6" ht="12.75" customHeight="1">
      <c r="A4" s="606"/>
      <c r="B4" s="626"/>
      <c r="C4" s="610"/>
      <c r="D4" s="610"/>
      <c r="E4" s="611"/>
      <c r="F4" s="188"/>
    </row>
    <row r="5" spans="1:6" ht="12.75" customHeight="1" thickBot="1">
      <c r="A5" s="607"/>
      <c r="B5" s="627"/>
      <c r="C5" s="612"/>
      <c r="D5" s="612"/>
      <c r="E5" s="613"/>
      <c r="F5" s="194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 thickBo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179"/>
    </row>
    <row r="10" spans="1:6" ht="15" customHeight="1">
      <c r="A10" s="154"/>
      <c r="B10" s="631" t="s">
        <v>781</v>
      </c>
      <c r="D10" s="137"/>
      <c r="E10" s="633" t="s">
        <v>782</v>
      </c>
      <c r="F10" s="634"/>
    </row>
    <row r="11" spans="1:6" ht="15.75" customHeight="1" thickBot="1">
      <c r="A11" s="152"/>
      <c r="B11" s="632"/>
      <c r="C11" s="151"/>
      <c r="D11" s="150"/>
      <c r="E11" s="600"/>
      <c r="F11" s="635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93" t="s">
        <v>738</v>
      </c>
      <c r="E26" s="169"/>
      <c r="F26" s="167"/>
    </row>
    <row r="27" spans="1:6" ht="17.25" customHeight="1">
      <c r="A27" s="192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628" t="s">
        <v>783</v>
      </c>
      <c r="B30" s="629"/>
      <c r="C30" s="629"/>
      <c r="D30" s="629"/>
      <c r="E30" s="629"/>
      <c r="F30" s="630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33" t="s">
        <v>784</v>
      </c>
      <c r="B33" s="153" t="s">
        <v>748</v>
      </c>
      <c r="C33" s="154" t="s">
        <v>746</v>
      </c>
      <c r="F33" s="137"/>
    </row>
    <row r="34" spans="1:6">
      <c r="A34" s="133" t="s">
        <v>785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786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8</v>
      </c>
      <c r="B40" s="141" t="s">
        <v>648</v>
      </c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/>
      <c r="B42" s="141"/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/>
      <c r="B44" s="141"/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91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640" t="s">
        <v>765</v>
      </c>
      <c r="B51" s="598"/>
      <c r="C51" s="638" t="s">
        <v>765</v>
      </c>
      <c r="D51" s="599"/>
      <c r="E51" s="592"/>
      <c r="F51" s="595"/>
    </row>
    <row r="52" spans="1:6" ht="13.5" customHeight="1" thickBot="1">
      <c r="A52" s="639" t="s">
        <v>766</v>
      </c>
      <c r="B52" s="636"/>
      <c r="C52" s="636" t="s">
        <v>767</v>
      </c>
      <c r="D52" s="637"/>
      <c r="E52" s="593"/>
      <c r="F52" s="596"/>
    </row>
    <row r="53" spans="1:6">
      <c r="A53" s="190"/>
    </row>
  </sheetData>
  <sheetProtection selectLockedCells="1"/>
  <mergeCells count="16">
    <mergeCell ref="B1:E5"/>
    <mergeCell ref="A30:F30"/>
    <mergeCell ref="B10:B11"/>
    <mergeCell ref="F49:F52"/>
    <mergeCell ref="E10:F11"/>
    <mergeCell ref="F1:F2"/>
    <mergeCell ref="A1:A5"/>
    <mergeCell ref="A12:F12"/>
    <mergeCell ref="A23:F24"/>
    <mergeCell ref="D45:F45"/>
    <mergeCell ref="C52:D52"/>
    <mergeCell ref="C51:D51"/>
    <mergeCell ref="A52:B52"/>
    <mergeCell ref="A51:B51"/>
    <mergeCell ref="E39:E40"/>
    <mergeCell ref="E49:E52"/>
  </mergeCells>
  <pageMargins left="0.70866141732283472" right="0.39370078740157483" top="0.39370078740157483" bottom="0.39370078740157483" header="0.31496062992125984" footer="0.31496062992125984"/>
  <pageSetup paperSize="9" scale="59" orientation="landscape" r:id="rId1"/>
  <headerFooter alignWithMargins="0">
    <oddHeader>&amp;C&amp;8Página &amp;P de &amp;N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0603-9F2D-4A1A-B775-D843974EE314}">
  <sheetPr codeName="Planilha12">
    <pageSetUpPr fitToPage="1"/>
  </sheetPr>
  <dimension ref="A1:F52"/>
  <sheetViews>
    <sheetView showGridLines="0" topLeftCell="A30" zoomScale="85" zoomScaleNormal="85" workbookViewId="0">
      <selection activeCell="D45" sqref="D45:F45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768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88"/>
    </row>
    <row r="5" spans="1:6" ht="12.75" customHeight="1" thickBot="1">
      <c r="A5" s="607"/>
      <c r="B5" s="612"/>
      <c r="C5" s="612"/>
      <c r="D5" s="612"/>
      <c r="E5" s="613"/>
      <c r="F5" s="187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 thickBo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179"/>
    </row>
    <row r="10" spans="1:6" ht="15" customHeight="1">
      <c r="A10" s="154"/>
      <c r="B10" s="137"/>
      <c r="D10" s="137"/>
      <c r="E10" s="633" t="s">
        <v>360</v>
      </c>
      <c r="F10" s="634"/>
    </row>
    <row r="11" spans="1:6" ht="15.75" customHeight="1" thickBot="1">
      <c r="A11" s="152"/>
      <c r="B11" s="150"/>
      <c r="C11" s="151"/>
      <c r="D11" s="150"/>
      <c r="E11" s="600"/>
      <c r="F11" s="635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787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628" t="s">
        <v>788</v>
      </c>
      <c r="B30" s="629"/>
      <c r="C30" s="629"/>
      <c r="D30" s="629"/>
      <c r="E30" s="629"/>
      <c r="F30" s="630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33" t="s">
        <v>789</v>
      </c>
      <c r="B33" s="153" t="s">
        <v>748</v>
      </c>
      <c r="C33" s="154" t="s">
        <v>746</v>
      </c>
      <c r="F33" s="137"/>
    </row>
    <row r="34" spans="1:6">
      <c r="A34" s="133" t="s">
        <v>790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791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205" t="s">
        <v>792</v>
      </c>
      <c r="F39" s="143" t="s">
        <v>756</v>
      </c>
    </row>
    <row r="40" spans="1:6" ht="15.75" customHeight="1">
      <c r="A40" s="142" t="s">
        <v>6</v>
      </c>
      <c r="B40" s="141" t="s">
        <v>793</v>
      </c>
      <c r="C40" s="146"/>
      <c r="D40" s="142" t="s">
        <v>8</v>
      </c>
      <c r="E40" s="206" t="s">
        <v>794</v>
      </c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 t="s">
        <v>7</v>
      </c>
      <c r="B42" s="141" t="s">
        <v>793</v>
      </c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 t="s">
        <v>795</v>
      </c>
      <c r="B44" s="141" t="s">
        <v>793</v>
      </c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641" t="s">
        <v>796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797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4">
    <mergeCell ref="A30:F30"/>
    <mergeCell ref="A1:A5"/>
    <mergeCell ref="B1:E5"/>
    <mergeCell ref="F1:F2"/>
    <mergeCell ref="A12:F12"/>
    <mergeCell ref="A23:F24"/>
    <mergeCell ref="E10:F11"/>
    <mergeCell ref="D45:F45"/>
    <mergeCell ref="E49:E52"/>
    <mergeCell ref="F49:F52"/>
    <mergeCell ref="A51:B51"/>
    <mergeCell ref="C51:D51"/>
    <mergeCell ref="A52:B52"/>
    <mergeCell ref="C52:D52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3BE3-B377-4A33-BD16-D9BBBBB486DA}">
  <sheetPr codeName="Planilha13">
    <pageSetUpPr fitToPage="1"/>
  </sheetPr>
  <dimension ref="A1:F52"/>
  <sheetViews>
    <sheetView showGridLines="0" topLeftCell="A23" zoomScale="130" zoomScaleNormal="130" workbookViewId="0">
      <selection activeCell="B40" sqref="B40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798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88"/>
    </row>
    <row r="5" spans="1:6" ht="12.75" customHeight="1" thickBot="1">
      <c r="A5" s="607"/>
      <c r="B5" s="612"/>
      <c r="C5" s="612"/>
      <c r="D5" s="612"/>
      <c r="E5" s="613"/>
      <c r="F5" s="187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208" t="s">
        <v>799</v>
      </c>
    </row>
    <row r="10" spans="1:6">
      <c r="A10" s="154"/>
      <c r="B10" s="137"/>
      <c r="D10" s="137"/>
      <c r="F10" s="137"/>
    </row>
    <row r="11" spans="1:6">
      <c r="A11" s="152"/>
      <c r="B11" s="150"/>
      <c r="C11" s="151"/>
      <c r="D11" s="150"/>
      <c r="E11" s="151"/>
      <c r="F11" s="150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133"/>
      <c r="D30" s="151"/>
      <c r="F30" s="137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33" t="s">
        <v>747</v>
      </c>
      <c r="B33" s="153" t="s">
        <v>748</v>
      </c>
      <c r="C33" s="154" t="s">
        <v>746</v>
      </c>
      <c r="F33" s="137"/>
    </row>
    <row r="34" spans="1:6">
      <c r="A34" s="133" t="s">
        <v>749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33" t="s">
        <v>751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800</v>
      </c>
      <c r="B40" s="141" t="s">
        <v>648</v>
      </c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/>
      <c r="B42" s="141"/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/>
      <c r="B44" s="141"/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765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3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</mergeCells>
  <pageMargins left="0.70866141732283472" right="0.39370078740157483" top="0.39370078740157483" bottom="0.39370078740157483" header="0.31496062992125984" footer="0.31496062992125984"/>
  <pageSetup paperSize="9" scale="59" orientation="landscape"/>
  <headerFooter alignWithMargins="0">
    <oddHeader>&amp;C&amp;8Página &amp;P de &amp;N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0E67-E2C6-4553-A591-554B3EF73AF6}">
  <sheetPr codeName="Planilha14">
    <pageSetUpPr fitToPage="1"/>
  </sheetPr>
  <dimension ref="A1:F52"/>
  <sheetViews>
    <sheetView showGridLines="0" topLeftCell="A29" zoomScaleNormal="100" workbookViewId="0">
      <selection activeCell="C48" sqref="C48"/>
    </sheetView>
  </sheetViews>
  <sheetFormatPr defaultRowHeight="12.75"/>
  <cols>
    <col min="1" max="1" width="35.7109375" style="131" customWidth="1"/>
    <col min="2" max="2" width="30.7109375" style="131" customWidth="1"/>
    <col min="3" max="3" width="35.28515625" style="131" customWidth="1"/>
    <col min="4" max="4" width="33.140625" style="131" customWidth="1"/>
    <col min="5" max="5" width="34.28515625" style="131" customWidth="1"/>
    <col min="6" max="6" width="52" style="131" customWidth="1"/>
    <col min="7" max="16384" width="9.140625" style="131"/>
  </cols>
  <sheetData>
    <row r="1" spans="1:6" ht="12.75" customHeight="1">
      <c r="A1" s="605" t="s">
        <v>719</v>
      </c>
      <c r="B1" s="608" t="s">
        <v>770</v>
      </c>
      <c r="C1" s="608"/>
      <c r="D1" s="608"/>
      <c r="E1" s="609"/>
      <c r="F1" s="614"/>
    </row>
    <row r="2" spans="1:6" ht="12.75" customHeight="1">
      <c r="A2" s="606"/>
      <c r="B2" s="610"/>
      <c r="C2" s="610"/>
      <c r="D2" s="610"/>
      <c r="E2" s="611"/>
      <c r="F2" s="615"/>
    </row>
    <row r="3" spans="1:6" ht="12.75" customHeight="1">
      <c r="A3" s="606"/>
      <c r="B3" s="610"/>
      <c r="C3" s="610"/>
      <c r="D3" s="610"/>
      <c r="E3" s="611"/>
      <c r="F3" s="189" t="s">
        <v>721</v>
      </c>
    </row>
    <row r="4" spans="1:6" ht="12.75" customHeight="1">
      <c r="A4" s="606"/>
      <c r="B4" s="610"/>
      <c r="C4" s="610"/>
      <c r="D4" s="610"/>
      <c r="E4" s="611"/>
      <c r="F4" s="188"/>
    </row>
    <row r="5" spans="1:6" ht="12.75" customHeight="1" thickBot="1">
      <c r="A5" s="607"/>
      <c r="B5" s="612"/>
      <c r="C5" s="612"/>
      <c r="D5" s="612"/>
      <c r="E5" s="613"/>
      <c r="F5" s="187"/>
    </row>
    <row r="6" spans="1:6" ht="17.25" customHeight="1">
      <c r="A6" s="160" t="s">
        <v>723</v>
      </c>
      <c r="B6" s="162"/>
      <c r="C6" s="162"/>
      <c r="D6" s="162"/>
      <c r="E6" s="162"/>
      <c r="F6" s="161"/>
    </row>
    <row r="7" spans="1:6" ht="3.75" customHeight="1">
      <c r="A7" s="153"/>
      <c r="F7" s="137"/>
    </row>
    <row r="8" spans="1:6" ht="24" customHeight="1" thickBot="1">
      <c r="A8" s="186" t="s">
        <v>769</v>
      </c>
      <c r="B8" s="185" t="s">
        <v>725</v>
      </c>
      <c r="C8" s="185" t="s">
        <v>726</v>
      </c>
      <c r="D8" s="185" t="s">
        <v>727</v>
      </c>
      <c r="E8" s="184" t="s">
        <v>728</v>
      </c>
      <c r="F8" s="183" t="s">
        <v>729</v>
      </c>
    </row>
    <row r="9" spans="1:6" ht="24" customHeight="1">
      <c r="A9" s="182" t="s">
        <v>730</v>
      </c>
      <c r="B9" s="181" t="s">
        <v>731</v>
      </c>
      <c r="C9" s="157" t="s">
        <v>732</v>
      </c>
      <c r="D9" s="180"/>
      <c r="E9" s="157" t="s">
        <v>733</v>
      </c>
      <c r="F9" s="179"/>
    </row>
    <row r="10" spans="1:6">
      <c r="A10" s="154"/>
      <c r="B10" s="137"/>
      <c r="D10" s="137"/>
      <c r="E10" s="642" t="s">
        <v>801</v>
      </c>
      <c r="F10" s="634"/>
    </row>
    <row r="11" spans="1:6" ht="13.5" thickBot="1">
      <c r="A11" s="152"/>
      <c r="B11" s="150"/>
      <c r="C11" s="151"/>
      <c r="D11" s="150"/>
      <c r="E11" s="600"/>
      <c r="F11" s="635"/>
    </row>
    <row r="12" spans="1:6" ht="15">
      <c r="A12" s="616" t="s">
        <v>734</v>
      </c>
      <c r="B12" s="617"/>
      <c r="C12" s="617"/>
      <c r="D12" s="617"/>
      <c r="E12" s="617"/>
      <c r="F12" s="618"/>
    </row>
    <row r="13" spans="1:6">
      <c r="A13" s="178"/>
      <c r="B13" s="135"/>
      <c r="C13" s="135"/>
      <c r="D13" s="135"/>
      <c r="E13" s="135"/>
      <c r="F13" s="177"/>
    </row>
    <row r="14" spans="1:6">
      <c r="A14" s="133"/>
      <c r="F14" s="137"/>
    </row>
    <row r="15" spans="1:6">
      <c r="A15" s="133"/>
      <c r="F15" s="137"/>
    </row>
    <row r="16" spans="1:6">
      <c r="A16" s="133"/>
      <c r="F16" s="137"/>
    </row>
    <row r="17" spans="1:6">
      <c r="A17" s="133"/>
      <c r="F17" s="137"/>
    </row>
    <row r="18" spans="1:6">
      <c r="A18" s="133"/>
      <c r="F18" s="137"/>
    </row>
    <row r="19" spans="1:6">
      <c r="A19" s="133"/>
      <c r="F19" s="137"/>
    </row>
    <row r="20" spans="1:6">
      <c r="A20" s="133"/>
      <c r="F20" s="137"/>
    </row>
    <row r="21" spans="1:6">
      <c r="A21" s="133"/>
      <c r="F21" s="137"/>
    </row>
    <row r="22" spans="1:6" ht="6" customHeight="1">
      <c r="A22" s="176"/>
      <c r="B22" s="175"/>
      <c r="C22" s="175"/>
      <c r="D22" s="175"/>
      <c r="E22" s="175"/>
      <c r="F22" s="174"/>
    </row>
    <row r="23" spans="1:6" ht="15.75" customHeight="1">
      <c r="A23" s="619" t="s">
        <v>736</v>
      </c>
      <c r="B23" s="620"/>
      <c r="C23" s="620"/>
      <c r="D23" s="620"/>
      <c r="E23" s="620"/>
      <c r="F23" s="621"/>
    </row>
    <row r="24" spans="1:6" ht="30" customHeight="1" thickBot="1">
      <c r="A24" s="622"/>
      <c r="B24" s="623"/>
      <c r="C24" s="623"/>
      <c r="D24" s="623"/>
      <c r="E24" s="623"/>
      <c r="F24" s="624"/>
    </row>
    <row r="25" spans="1:6" ht="22.5" customHeight="1">
      <c r="A25" s="173" t="s">
        <v>737</v>
      </c>
      <c r="B25" s="162"/>
      <c r="C25" s="162"/>
      <c r="D25" s="162"/>
      <c r="E25" s="172"/>
      <c r="F25" s="171"/>
    </row>
    <row r="26" spans="1:6" ht="22.5" customHeight="1">
      <c r="A26" s="170" t="s">
        <v>738</v>
      </c>
      <c r="E26" s="169"/>
      <c r="F26" s="167"/>
    </row>
    <row r="27" spans="1:6" ht="17.25" customHeight="1">
      <c r="A27" s="133" t="s">
        <v>739</v>
      </c>
      <c r="E27" s="168"/>
      <c r="F27" s="167"/>
    </row>
    <row r="28" spans="1:6" ht="10.5" customHeight="1" thickBot="1">
      <c r="A28" s="166"/>
      <c r="B28" s="151"/>
      <c r="C28" s="151"/>
      <c r="D28" s="151"/>
      <c r="E28" s="165"/>
      <c r="F28" s="164"/>
    </row>
    <row r="29" spans="1:6" ht="15.75">
      <c r="A29" s="163" t="s">
        <v>740</v>
      </c>
      <c r="B29" s="162"/>
      <c r="C29" s="162"/>
      <c r="D29" s="162"/>
      <c r="E29" s="162"/>
      <c r="F29" s="161"/>
    </row>
    <row r="30" spans="1:6" ht="76.5" customHeight="1" thickBot="1">
      <c r="A30" s="643" t="s">
        <v>802</v>
      </c>
      <c r="B30" s="629"/>
      <c r="C30" s="629"/>
      <c r="D30" s="629"/>
      <c r="E30" s="629"/>
      <c r="F30" s="630"/>
    </row>
    <row r="31" spans="1:6" ht="26.25" customHeight="1">
      <c r="A31" s="160" t="s">
        <v>742</v>
      </c>
      <c r="B31" s="159"/>
      <c r="C31" s="158"/>
      <c r="D31" s="157" t="s">
        <v>743</v>
      </c>
      <c r="E31" s="156"/>
      <c r="F31" s="155"/>
    </row>
    <row r="32" spans="1:6">
      <c r="A32" s="133" t="s">
        <v>744</v>
      </c>
      <c r="B32" s="133" t="s">
        <v>745</v>
      </c>
      <c r="C32" s="154" t="s">
        <v>746</v>
      </c>
      <c r="F32" s="137"/>
    </row>
    <row r="33" spans="1:6">
      <c r="A33" s="192" t="s">
        <v>784</v>
      </c>
      <c r="B33" s="153" t="s">
        <v>748</v>
      </c>
      <c r="C33" s="154" t="s">
        <v>746</v>
      </c>
      <c r="F33" s="137"/>
    </row>
    <row r="34" spans="1:6">
      <c r="A34" s="192" t="s">
        <v>785</v>
      </c>
      <c r="B34" s="133"/>
      <c r="C34" s="154" t="s">
        <v>746</v>
      </c>
      <c r="F34" s="137"/>
    </row>
    <row r="35" spans="1:6">
      <c r="A35" s="133" t="s">
        <v>750</v>
      </c>
      <c r="B35" s="133"/>
      <c r="C35" s="154" t="s">
        <v>746</v>
      </c>
      <c r="F35" s="137"/>
    </row>
    <row r="36" spans="1:6">
      <c r="A36" s="192" t="s">
        <v>786</v>
      </c>
      <c r="B36" s="133"/>
      <c r="C36" s="154" t="s">
        <v>746</v>
      </c>
      <c r="F36" s="137"/>
    </row>
    <row r="37" spans="1:6" ht="13.5" thickBot="1">
      <c r="A37" s="133" t="s">
        <v>752</v>
      </c>
      <c r="B37" s="153"/>
      <c r="C37" s="152" t="s">
        <v>746</v>
      </c>
      <c r="D37" s="151"/>
      <c r="E37" s="151"/>
      <c r="F37" s="150"/>
    </row>
    <row r="38" spans="1:6" ht="17.25" customHeight="1">
      <c r="A38" s="149" t="s">
        <v>753</v>
      </c>
      <c r="B38" s="148"/>
      <c r="C38" s="148"/>
      <c r="D38" s="148"/>
      <c r="E38" s="148"/>
      <c r="F38" s="147"/>
    </row>
    <row r="39" spans="1:6" ht="15" customHeight="1">
      <c r="A39" s="145" t="s">
        <v>754</v>
      </c>
      <c r="B39" s="144" t="s">
        <v>755</v>
      </c>
      <c r="C39" s="144" t="s">
        <v>756</v>
      </c>
      <c r="D39" s="145" t="s">
        <v>754</v>
      </c>
      <c r="E39" s="603" t="s">
        <v>755</v>
      </c>
      <c r="F39" s="143" t="s">
        <v>756</v>
      </c>
    </row>
    <row r="40" spans="1:6" ht="15.75" customHeight="1">
      <c r="A40" s="142" t="s">
        <v>8</v>
      </c>
      <c r="B40" s="141" t="s">
        <v>648</v>
      </c>
      <c r="C40" s="146"/>
      <c r="D40" s="142"/>
      <c r="E40" s="604"/>
      <c r="F40" s="140"/>
    </row>
    <row r="41" spans="1:6" ht="15.75" customHeight="1">
      <c r="A41" s="145" t="s">
        <v>754</v>
      </c>
      <c r="B41" s="144" t="s">
        <v>755</v>
      </c>
      <c r="C41" s="144" t="s">
        <v>756</v>
      </c>
      <c r="D41" s="145" t="s">
        <v>754</v>
      </c>
      <c r="E41" s="144" t="s">
        <v>755</v>
      </c>
      <c r="F41" s="143" t="s">
        <v>756</v>
      </c>
    </row>
    <row r="42" spans="1:6" ht="18.75" customHeight="1">
      <c r="A42" s="142"/>
      <c r="B42" s="141"/>
      <c r="C42" s="146"/>
      <c r="D42" s="142"/>
      <c r="E42" s="141"/>
      <c r="F42" s="140"/>
    </row>
    <row r="43" spans="1:6" ht="15.75" customHeight="1">
      <c r="A43" s="145" t="s">
        <v>754</v>
      </c>
      <c r="B43" s="144" t="s">
        <v>755</v>
      </c>
      <c r="C43" s="144" t="s">
        <v>756</v>
      </c>
      <c r="D43" s="145" t="s">
        <v>754</v>
      </c>
      <c r="E43" s="144" t="s">
        <v>755</v>
      </c>
      <c r="F43" s="143" t="s">
        <v>756</v>
      </c>
    </row>
    <row r="44" spans="1:6" ht="18.75" customHeight="1">
      <c r="A44" s="142"/>
      <c r="B44" s="141"/>
      <c r="C44" s="140"/>
      <c r="D44" s="142"/>
      <c r="E44" s="141"/>
      <c r="F44" s="140"/>
    </row>
    <row r="45" spans="1:6" ht="17.25" customHeight="1">
      <c r="A45" s="139" t="s">
        <v>761</v>
      </c>
      <c r="B45" s="138"/>
      <c r="C45" s="138"/>
      <c r="D45" s="589"/>
      <c r="E45" s="589"/>
      <c r="F45" s="590"/>
    </row>
    <row r="46" spans="1:6">
      <c r="A46" s="133"/>
      <c r="F46" s="137"/>
    </row>
    <row r="47" spans="1:6">
      <c r="A47" s="133"/>
      <c r="F47" s="137"/>
    </row>
    <row r="48" spans="1:6" ht="65.25" customHeight="1">
      <c r="A48" s="133"/>
      <c r="F48" s="137"/>
    </row>
    <row r="49" spans="1:6" ht="17.25" customHeight="1">
      <c r="A49" s="136" t="s">
        <v>762</v>
      </c>
      <c r="B49" s="135"/>
      <c r="C49" s="135"/>
      <c r="D49" s="134"/>
      <c r="E49" s="591" t="s">
        <v>763</v>
      </c>
      <c r="F49" s="594" t="s">
        <v>764</v>
      </c>
    </row>
    <row r="50" spans="1:6" ht="12.75" customHeight="1">
      <c r="A50" s="133"/>
      <c r="D50" s="132"/>
      <c r="E50" s="592"/>
      <c r="F50" s="595"/>
    </row>
    <row r="51" spans="1:6" ht="12.75" customHeight="1">
      <c r="A51" s="597" t="s">
        <v>765</v>
      </c>
      <c r="B51" s="598"/>
      <c r="C51" s="598" t="s">
        <v>765</v>
      </c>
      <c r="D51" s="599"/>
      <c r="E51" s="592"/>
      <c r="F51" s="595"/>
    </row>
    <row r="52" spans="1:6" ht="13.5" customHeight="1" thickBot="1">
      <c r="A52" s="600" t="s">
        <v>766</v>
      </c>
      <c r="B52" s="601"/>
      <c r="C52" s="601" t="s">
        <v>767</v>
      </c>
      <c r="D52" s="602"/>
      <c r="E52" s="593"/>
      <c r="F52" s="596"/>
    </row>
  </sheetData>
  <mergeCells count="15">
    <mergeCell ref="D45:F45"/>
    <mergeCell ref="E49:E52"/>
    <mergeCell ref="F49:F52"/>
    <mergeCell ref="A51:B51"/>
    <mergeCell ref="C51:D51"/>
    <mergeCell ref="A52:B52"/>
    <mergeCell ref="C52:D52"/>
    <mergeCell ref="E39:E40"/>
    <mergeCell ref="A1:A5"/>
    <mergeCell ref="B1:E5"/>
    <mergeCell ref="F1:F2"/>
    <mergeCell ref="A12:F12"/>
    <mergeCell ref="A23:F24"/>
    <mergeCell ref="E10:F11"/>
    <mergeCell ref="A30:F30"/>
  </mergeCells>
  <pageMargins left="0.70866141732283472" right="0.39370078740157483" top="0.39370078740157483" bottom="0.39370078740157483" header="0.31496062992125984" footer="0.31496062992125984"/>
  <pageSetup paperSize="9" scale="59" orientation="landscape" r:id="rId1"/>
  <headerFooter alignWithMargins="0">
    <oddHeader>&amp;C&amp;8Página &amp;P de &amp;N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859BA75B0B24CBFD82B80A0577E0F" ma:contentTypeVersion="6" ma:contentTypeDescription="Crie um novo documento." ma:contentTypeScope="" ma:versionID="24dfd5aec2abed6b4b951a8fb50a18f0">
  <xsd:schema xmlns:xsd="http://www.w3.org/2001/XMLSchema" xmlns:xs="http://www.w3.org/2001/XMLSchema" xmlns:p="http://schemas.microsoft.com/office/2006/metadata/properties" xmlns:ns2="6a6ab6a4-54fc-435c-ab2a-83512e1b3d84" targetNamespace="http://schemas.microsoft.com/office/2006/metadata/properties" ma:root="true" ma:fieldsID="3835c683c31e2b817e383dc6d283a3c8" ns2:_="">
    <xsd:import namespace="6a6ab6a4-54fc-435c-ab2a-83512e1b3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ab6a4-54fc-435c-ab2a-83512e1b3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188173-02AC-4686-91B4-DB367B494040}"/>
</file>

<file path=customXml/itemProps2.xml><?xml version="1.0" encoding="utf-8"?>
<ds:datastoreItem xmlns:ds="http://schemas.openxmlformats.org/officeDocument/2006/customXml" ds:itemID="{307F412E-27CB-4EAE-9FE4-967B3F9D9721}"/>
</file>

<file path=customXml/itemProps3.xml><?xml version="1.0" encoding="utf-8"?>
<ds:datastoreItem xmlns:ds="http://schemas.openxmlformats.org/officeDocument/2006/customXml" ds:itemID="{AF861E12-74ED-4672-8CF6-536E40156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RIKELME MOREIRA DE SOUZA</dc:creator>
  <cp:keywords/>
  <dc:description/>
  <cp:lastModifiedBy>NILTON DIONISIO GUERRA</cp:lastModifiedBy>
  <cp:revision/>
  <dcterms:created xsi:type="dcterms:W3CDTF">2020-08-26T13:46:23Z</dcterms:created>
  <dcterms:modified xsi:type="dcterms:W3CDTF">2021-11-29T17:27:34Z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0x010100755859BA75B0B24CBFD82B80A0577E0F</vt:lpwstr>
  </property>
</Properties>
</file>